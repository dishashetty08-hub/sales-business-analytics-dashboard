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ales Data" sheetId="1" r:id="rId1"/>
    <sheet name="Summary" sheetId="2" r:id="rId2"/>
  </sheets>
  <calcPr calcId="144525"/>
</workbook>
</file>

<file path=xl/calcChain.xml><?xml version="1.0" encoding="utf-8"?>
<calcChain xmlns="http://schemas.openxmlformats.org/spreadsheetml/2006/main">
  <c r="E8" i="2" l="1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<sst xmlns="http://schemas.openxmlformats.org/spreadsheetml/2006/main" count="624" uniqueCount="95">
  <si>
    <t>Sale_ID</t>
  </si>
  <si>
    <t>Date</t>
  </si>
  <si>
    <t>Customer</t>
  </si>
  <si>
    <t>Product</t>
  </si>
  <si>
    <t>Category</t>
  </si>
  <si>
    <t>Region</t>
  </si>
  <si>
    <t>Quantity</t>
  </si>
  <si>
    <t>Sales</t>
  </si>
  <si>
    <t>Cost</t>
  </si>
  <si>
    <t>Profit</t>
  </si>
  <si>
    <t>Customer_001</t>
  </si>
  <si>
    <t>Smartphone</t>
  </si>
  <si>
    <t>Electronics</t>
  </si>
  <si>
    <t>North</t>
  </si>
  <si>
    <t>Customer_011</t>
  </si>
  <si>
    <t>Business Book</t>
  </si>
  <si>
    <t>Books</t>
  </si>
  <si>
    <t>South</t>
  </si>
  <si>
    <t>Customer_048</t>
  </si>
  <si>
    <t>East</t>
  </si>
  <si>
    <t>Customer_025</t>
  </si>
  <si>
    <t>Novel</t>
  </si>
  <si>
    <t>West</t>
  </si>
  <si>
    <t>Customer_020</t>
  </si>
  <si>
    <t>Mixer</t>
  </si>
  <si>
    <t>Home Appliances</t>
  </si>
  <si>
    <t>Customer_040</t>
  </si>
  <si>
    <t>Data Science Book</t>
  </si>
  <si>
    <t>Customer_013</t>
  </si>
  <si>
    <t>Tea</t>
  </si>
  <si>
    <t>Groceries</t>
  </si>
  <si>
    <t>Customer_036</t>
  </si>
  <si>
    <t>Vacuum Cleaner</t>
  </si>
  <si>
    <t>Customer_021</t>
  </si>
  <si>
    <t>Customer_032</t>
  </si>
  <si>
    <t>Customer_006</t>
  </si>
  <si>
    <t>Headphones</t>
  </si>
  <si>
    <t>Customer_010</t>
  </si>
  <si>
    <t>Customer_018</t>
  </si>
  <si>
    <t>Rice</t>
  </si>
  <si>
    <t>Customer_012</t>
  </si>
  <si>
    <t>Jeans</t>
  </si>
  <si>
    <t>Clothing</t>
  </si>
  <si>
    <t>Customer_029</t>
  </si>
  <si>
    <t>Air Cooler</t>
  </si>
  <si>
    <t>Customer_026</t>
  </si>
  <si>
    <t>Cooking Oil</t>
  </si>
  <si>
    <t>Customer_027</t>
  </si>
  <si>
    <t>Customer_023</t>
  </si>
  <si>
    <t>Monitor</t>
  </si>
  <si>
    <t>Customer_022</t>
  </si>
  <si>
    <t>Customer_034</t>
  </si>
  <si>
    <t>Customer_016</t>
  </si>
  <si>
    <t>Customer_050</t>
  </si>
  <si>
    <t>Customer_024</t>
  </si>
  <si>
    <t>Customer_030</t>
  </si>
  <si>
    <t>Laptop</t>
  </si>
  <si>
    <t>Shoes</t>
  </si>
  <si>
    <t>Customer_049</t>
  </si>
  <si>
    <t>Customer_033</t>
  </si>
  <si>
    <t>Microwave</t>
  </si>
  <si>
    <t>Customer_038</t>
  </si>
  <si>
    <t>Customer_047</t>
  </si>
  <si>
    <t>Customer_005</t>
  </si>
  <si>
    <t>Biscuits</t>
  </si>
  <si>
    <t>Customer_004</t>
  </si>
  <si>
    <t>Customer_037</t>
  </si>
  <si>
    <t>Customer_043</t>
  </si>
  <si>
    <t>Customer_039</t>
  </si>
  <si>
    <t>Customer_015</t>
  </si>
  <si>
    <t>Customer_028</t>
  </si>
  <si>
    <t>Customer_007</t>
  </si>
  <si>
    <t>Customer_035</t>
  </si>
  <si>
    <t>Programming Book</t>
  </si>
  <si>
    <t>Customer_031</t>
  </si>
  <si>
    <t>Customer_002</t>
  </si>
  <si>
    <t>Customer_041</t>
  </si>
  <si>
    <t>Customer_017</t>
  </si>
  <si>
    <t>Customer_014</t>
  </si>
  <si>
    <t>T-Shirt</t>
  </si>
  <si>
    <t>Customer_008</t>
  </si>
  <si>
    <t>Customer_003</t>
  </si>
  <si>
    <t>Customer_009</t>
  </si>
  <si>
    <t>Customer_045</t>
  </si>
  <si>
    <t>Jacket</t>
  </si>
  <si>
    <t>Customer_019</t>
  </si>
  <si>
    <t>Customer_044</t>
  </si>
  <si>
    <t>Customer_042</t>
  </si>
  <si>
    <t>SALES &amp; BUSINESS ANALYTICS</t>
  </si>
  <si>
    <t>Metric</t>
  </si>
  <si>
    <t>Value</t>
  </si>
  <si>
    <t>Total Sales</t>
  </si>
  <si>
    <t>Total Profit</t>
  </si>
  <si>
    <t>Total Orders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</si>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</sst>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\₹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Summary!$E$3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Summary!$D$4:$D$8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Groceries</c:v>
                </c:pt>
                <c:pt idx="4">
                  <c:v>Home Appliances</c:v>
                </c:pt>
              </c:strCache>
            </c:strRef>
          </c:cat>
          <c:val>
            <c:numRef>
              <c:f>Summary!$E$4:$E$8</c:f>
              <c:numCache>
                <c:formatCode>\₹#,##0.00</c:formatCode>
                <c:ptCount val="5"/>
                <c:pt idx="0">
                  <c:v>90827.49</c:v>
                </c:pt>
                <c:pt idx="1">
                  <c:v>163734.22999999998</c:v>
                </c:pt>
                <c:pt idx="2">
                  <c:v>2300322.5999999992</c:v>
                </c:pt>
                <c:pt idx="3">
                  <c:v>75761.679999999993</c:v>
                </c:pt>
                <c:pt idx="4">
                  <c:v>551788.3899999999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76544"/>
        <c:axId val="205678464"/>
      </c:barChart>
      <c:catAx>
        <c:axId val="2056765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5678464"/>
        <c:crosses val="autoZero"/>
        <c:auto val="1"/>
        <c:lblAlgn val="ctr"/>
        <c:lblOffset val="100"/>
        <c:noMultiLvlLbl val="1"/>
      </c:catAx>
      <c:valAx>
        <c:axId val="20567846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Sales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205676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SalesData" displayName="SalesData" ref="A1:J151">
  <autoFilter ref="A1:J151"/>
  <tableColumns count="10">
    <tableColumn id="1" name="Sale_ID"/>
    <tableColumn id="2" name="Date"/>
    <tableColumn id="3" name="Customer"/>
    <tableColumn id="4" name="Product"/>
    <tableColumn id="5" name="Category"/>
    <tableColumn id="6" name="Region"/>
    <tableColumn id="7" name="Quantity"/>
    <tableColumn id="8" name="Sales"/>
    <tableColumn id="9" name="Cost"/>
    <tableColumn id="10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4" customWidth="1"/>
    <col min="3" max="3" width="16" customWidth="1"/>
    <col min="4" max="4" width="22" customWidth="1"/>
    <col min="5" max="5" width="20" customWidth="1"/>
    <col min="6" max="6" width="12" customWidth="1"/>
    <col min="7" max="7" width="10" customWidth="1"/>
    <col min="8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s="2">
        <v>45950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s="3">
        <v>104443.78</v>
      </c>
      <c r="I2" s="3">
        <v>88000</v>
      </c>
      <c r="J2" s="3">
        <v>16443.78</v>
      </c>
    </row>
    <row r="3" spans="1:10" x14ac:dyDescent="0.25">
      <c r="A3">
        <v>1002</v>
      </c>
      <c r="B3" s="2">
        <v>45894</v>
      </c>
      <c r="C3" t="s">
        <v>14</v>
      </c>
      <c r="D3" t="s">
        <v>15</v>
      </c>
      <c r="E3" t="s">
        <v>16</v>
      </c>
      <c r="F3" t="s">
        <v>17</v>
      </c>
      <c r="G3">
        <v>3</v>
      </c>
      <c r="H3" s="3">
        <v>2191.73</v>
      </c>
      <c r="I3" s="3">
        <v>1800</v>
      </c>
      <c r="J3" s="3">
        <v>391.73</v>
      </c>
    </row>
    <row r="4" spans="1:10" x14ac:dyDescent="0.25">
      <c r="A4">
        <v>1003</v>
      </c>
      <c r="B4" s="2">
        <v>45924</v>
      </c>
      <c r="C4" t="s">
        <v>18</v>
      </c>
      <c r="D4" t="s">
        <v>15</v>
      </c>
      <c r="E4" t="s">
        <v>16</v>
      </c>
      <c r="F4" t="s">
        <v>19</v>
      </c>
      <c r="G4">
        <v>3</v>
      </c>
      <c r="H4" s="3">
        <v>2004.65</v>
      </c>
      <c r="I4" s="3">
        <v>1800</v>
      </c>
      <c r="J4" s="3">
        <v>204.65</v>
      </c>
    </row>
    <row r="5" spans="1:10" x14ac:dyDescent="0.25">
      <c r="A5">
        <v>1004</v>
      </c>
      <c r="B5" s="2">
        <v>45680</v>
      </c>
      <c r="C5" t="s">
        <v>20</v>
      </c>
      <c r="D5" t="s">
        <v>21</v>
      </c>
      <c r="E5" t="s">
        <v>16</v>
      </c>
      <c r="F5" t="s">
        <v>22</v>
      </c>
      <c r="G5">
        <v>2</v>
      </c>
      <c r="H5" s="3">
        <v>846</v>
      </c>
      <c r="I5" s="3">
        <v>700</v>
      </c>
      <c r="J5" s="3">
        <v>146</v>
      </c>
    </row>
    <row r="6" spans="1:10" x14ac:dyDescent="0.25">
      <c r="A6">
        <v>1005</v>
      </c>
      <c r="B6" s="2">
        <v>45803</v>
      </c>
      <c r="C6" t="s">
        <v>23</v>
      </c>
      <c r="D6" t="s">
        <v>24</v>
      </c>
      <c r="E6" t="s">
        <v>25</v>
      </c>
      <c r="F6" t="s">
        <v>19</v>
      </c>
      <c r="G6">
        <v>4</v>
      </c>
      <c r="H6" s="3">
        <v>13577.29</v>
      </c>
      <c r="I6" s="3">
        <v>12000</v>
      </c>
      <c r="J6" s="3">
        <v>1577.29</v>
      </c>
    </row>
    <row r="7" spans="1:10" x14ac:dyDescent="0.25">
      <c r="A7">
        <v>1006</v>
      </c>
      <c r="B7" s="2">
        <v>45726</v>
      </c>
      <c r="C7" t="s">
        <v>26</v>
      </c>
      <c r="D7" t="s">
        <v>27</v>
      </c>
      <c r="E7" t="s">
        <v>16</v>
      </c>
      <c r="F7" t="s">
        <v>22</v>
      </c>
      <c r="G7">
        <v>2</v>
      </c>
      <c r="H7" s="3">
        <v>2294.08</v>
      </c>
      <c r="I7" s="3">
        <v>1800</v>
      </c>
      <c r="J7" s="3">
        <v>494.08</v>
      </c>
    </row>
    <row r="8" spans="1:10" x14ac:dyDescent="0.25">
      <c r="A8">
        <v>1007</v>
      </c>
      <c r="B8" s="2">
        <v>45680</v>
      </c>
      <c r="C8" t="s">
        <v>28</v>
      </c>
      <c r="D8" t="s">
        <v>29</v>
      </c>
      <c r="E8" t="s">
        <v>30</v>
      </c>
      <c r="F8" t="s">
        <v>19</v>
      </c>
      <c r="G8">
        <v>1</v>
      </c>
      <c r="H8" s="3">
        <v>342.73</v>
      </c>
      <c r="I8" s="3">
        <v>300</v>
      </c>
      <c r="J8" s="3">
        <v>42.73</v>
      </c>
    </row>
    <row r="9" spans="1:10" x14ac:dyDescent="0.25">
      <c r="A9">
        <v>1008</v>
      </c>
      <c r="B9" s="2">
        <v>45932</v>
      </c>
      <c r="C9" t="s">
        <v>31</v>
      </c>
      <c r="D9" t="s">
        <v>32</v>
      </c>
      <c r="E9" t="s">
        <v>25</v>
      </c>
      <c r="F9" t="s">
        <v>22</v>
      </c>
      <c r="G9">
        <v>2</v>
      </c>
      <c r="H9" s="3">
        <v>12722.44</v>
      </c>
      <c r="I9" s="3">
        <v>11000</v>
      </c>
      <c r="J9" s="3">
        <v>1722.44</v>
      </c>
    </row>
    <row r="10" spans="1:10" x14ac:dyDescent="0.25">
      <c r="A10">
        <v>1009</v>
      </c>
      <c r="B10" s="2">
        <v>45881</v>
      </c>
      <c r="C10" t="s">
        <v>33</v>
      </c>
      <c r="D10" t="s">
        <v>15</v>
      </c>
      <c r="E10" t="s">
        <v>16</v>
      </c>
      <c r="F10" t="s">
        <v>13</v>
      </c>
      <c r="G10">
        <v>1</v>
      </c>
      <c r="H10" s="3">
        <v>730.52</v>
      </c>
      <c r="I10" s="3">
        <v>600</v>
      </c>
      <c r="J10" s="3">
        <v>130.52000000000001</v>
      </c>
    </row>
    <row r="11" spans="1:10" x14ac:dyDescent="0.25">
      <c r="A11">
        <v>1010</v>
      </c>
      <c r="B11" s="2">
        <v>45772</v>
      </c>
      <c r="C11" t="s">
        <v>34</v>
      </c>
      <c r="D11" t="s">
        <v>21</v>
      </c>
      <c r="E11" t="s">
        <v>16</v>
      </c>
      <c r="F11" t="s">
        <v>19</v>
      </c>
      <c r="G11">
        <v>2</v>
      </c>
      <c r="H11" s="3">
        <v>774.65</v>
      </c>
      <c r="I11" s="3">
        <v>700</v>
      </c>
      <c r="J11" s="3">
        <v>74.650000000000006</v>
      </c>
    </row>
    <row r="12" spans="1:10" x14ac:dyDescent="0.25">
      <c r="A12">
        <v>1011</v>
      </c>
      <c r="B12" s="2">
        <v>45968</v>
      </c>
      <c r="C12" t="s">
        <v>35</v>
      </c>
      <c r="D12" t="s">
        <v>36</v>
      </c>
      <c r="E12" t="s">
        <v>12</v>
      </c>
      <c r="F12" t="s">
        <v>13</v>
      </c>
      <c r="G12">
        <v>5</v>
      </c>
      <c r="H12" s="3">
        <v>15829.6</v>
      </c>
      <c r="I12" s="3">
        <v>12500</v>
      </c>
      <c r="J12" s="3">
        <v>3329.6</v>
      </c>
    </row>
    <row r="13" spans="1:10" x14ac:dyDescent="0.25">
      <c r="A13">
        <v>1012</v>
      </c>
      <c r="B13" s="2">
        <v>45854</v>
      </c>
      <c r="C13" t="s">
        <v>37</v>
      </c>
      <c r="D13" t="s">
        <v>29</v>
      </c>
      <c r="E13" t="s">
        <v>30</v>
      </c>
      <c r="F13" t="s">
        <v>17</v>
      </c>
      <c r="G13">
        <v>3</v>
      </c>
      <c r="H13" s="3">
        <v>1137.9000000000001</v>
      </c>
      <c r="I13" s="3">
        <v>900</v>
      </c>
      <c r="J13" s="3">
        <v>237.9</v>
      </c>
    </row>
    <row r="14" spans="1:10" x14ac:dyDescent="0.25">
      <c r="A14">
        <v>1013</v>
      </c>
      <c r="B14" s="2">
        <v>45707</v>
      </c>
      <c r="C14" t="s">
        <v>28</v>
      </c>
      <c r="D14" t="s">
        <v>27</v>
      </c>
      <c r="E14" t="s">
        <v>16</v>
      </c>
      <c r="F14" t="s">
        <v>19</v>
      </c>
      <c r="G14">
        <v>2</v>
      </c>
      <c r="H14" s="3">
        <v>2298.15</v>
      </c>
      <c r="I14" s="3">
        <v>1800</v>
      </c>
      <c r="J14" s="3">
        <v>498.15</v>
      </c>
    </row>
    <row r="15" spans="1:10" x14ac:dyDescent="0.25">
      <c r="A15">
        <v>1014</v>
      </c>
      <c r="B15" s="2">
        <v>45879</v>
      </c>
      <c r="C15" t="s">
        <v>38</v>
      </c>
      <c r="D15" t="s">
        <v>21</v>
      </c>
      <c r="E15" t="s">
        <v>16</v>
      </c>
      <c r="F15" t="s">
        <v>13</v>
      </c>
      <c r="G15">
        <v>4</v>
      </c>
      <c r="H15" s="3">
        <v>1601.86</v>
      </c>
      <c r="I15" s="3">
        <v>1400</v>
      </c>
      <c r="J15" s="3">
        <v>201.86</v>
      </c>
    </row>
    <row r="16" spans="1:10" x14ac:dyDescent="0.25">
      <c r="A16">
        <v>1015</v>
      </c>
      <c r="B16" s="2">
        <v>45974</v>
      </c>
      <c r="C16" t="s">
        <v>38</v>
      </c>
      <c r="D16" t="s">
        <v>39</v>
      </c>
      <c r="E16" t="s">
        <v>30</v>
      </c>
      <c r="F16" t="s">
        <v>22</v>
      </c>
      <c r="G16">
        <v>2</v>
      </c>
      <c r="H16" s="3">
        <v>1757.95</v>
      </c>
      <c r="I16" s="3">
        <v>1400</v>
      </c>
      <c r="J16" s="3">
        <v>357.95</v>
      </c>
    </row>
    <row r="17" spans="1:10" x14ac:dyDescent="0.25">
      <c r="A17">
        <v>1016</v>
      </c>
      <c r="B17" s="2">
        <v>45812</v>
      </c>
      <c r="C17" t="s">
        <v>40</v>
      </c>
      <c r="D17" t="s">
        <v>41</v>
      </c>
      <c r="E17" t="s">
        <v>42</v>
      </c>
      <c r="F17" t="s">
        <v>13</v>
      </c>
      <c r="G17">
        <v>6</v>
      </c>
      <c r="H17" s="3">
        <v>9490.81</v>
      </c>
      <c r="I17" s="3">
        <v>7800</v>
      </c>
      <c r="J17" s="3">
        <v>1690.81</v>
      </c>
    </row>
    <row r="18" spans="1:10" x14ac:dyDescent="0.25">
      <c r="A18">
        <v>1017</v>
      </c>
      <c r="B18" s="2">
        <v>45903</v>
      </c>
      <c r="C18" t="s">
        <v>10</v>
      </c>
      <c r="D18" t="s">
        <v>32</v>
      </c>
      <c r="E18" t="s">
        <v>25</v>
      </c>
      <c r="F18" t="s">
        <v>17</v>
      </c>
      <c r="G18">
        <v>3</v>
      </c>
      <c r="H18" s="3">
        <v>19441.09</v>
      </c>
      <c r="I18" s="3">
        <v>16500</v>
      </c>
      <c r="J18" s="3">
        <v>2941.09</v>
      </c>
    </row>
    <row r="19" spans="1:10" x14ac:dyDescent="0.25">
      <c r="A19">
        <v>1018</v>
      </c>
      <c r="B19" s="2">
        <v>45827</v>
      </c>
      <c r="C19" t="s">
        <v>43</v>
      </c>
      <c r="D19" t="s">
        <v>44</v>
      </c>
      <c r="E19" t="s">
        <v>25</v>
      </c>
      <c r="F19" t="s">
        <v>22</v>
      </c>
      <c r="G19">
        <v>2</v>
      </c>
      <c r="H19" s="3">
        <v>14487.02</v>
      </c>
      <c r="I19" s="3">
        <v>13000</v>
      </c>
      <c r="J19" s="3">
        <v>1487.02</v>
      </c>
    </row>
    <row r="20" spans="1:10" x14ac:dyDescent="0.25">
      <c r="A20">
        <v>1019</v>
      </c>
      <c r="B20" s="2">
        <v>45956</v>
      </c>
      <c r="C20" t="s">
        <v>34</v>
      </c>
      <c r="D20" t="s">
        <v>41</v>
      </c>
      <c r="E20" t="s">
        <v>42</v>
      </c>
      <c r="F20" t="s">
        <v>13</v>
      </c>
      <c r="G20">
        <v>4</v>
      </c>
      <c r="H20" s="3">
        <v>6581.7</v>
      </c>
      <c r="I20" s="3">
        <v>5200</v>
      </c>
      <c r="J20" s="3">
        <v>1381.7</v>
      </c>
    </row>
    <row r="21" spans="1:10" x14ac:dyDescent="0.25">
      <c r="A21">
        <v>1020</v>
      </c>
      <c r="B21" s="2">
        <v>45926</v>
      </c>
      <c r="C21" t="s">
        <v>34</v>
      </c>
      <c r="D21" t="s">
        <v>24</v>
      </c>
      <c r="E21" t="s">
        <v>25</v>
      </c>
      <c r="F21" t="s">
        <v>17</v>
      </c>
      <c r="G21">
        <v>5</v>
      </c>
      <c r="H21" s="3">
        <v>17803.009999999998</v>
      </c>
      <c r="I21" s="3">
        <v>15000</v>
      </c>
      <c r="J21" s="3">
        <v>2803.01</v>
      </c>
    </row>
    <row r="22" spans="1:10" x14ac:dyDescent="0.25">
      <c r="A22">
        <v>1021</v>
      </c>
      <c r="B22" s="2">
        <v>45743</v>
      </c>
      <c r="C22" t="s">
        <v>45</v>
      </c>
      <c r="D22" t="s">
        <v>15</v>
      </c>
      <c r="E22" t="s">
        <v>16</v>
      </c>
      <c r="F22" t="s">
        <v>13</v>
      </c>
      <c r="G22">
        <v>6</v>
      </c>
      <c r="H22" s="3">
        <v>4259.01</v>
      </c>
      <c r="I22" s="3">
        <v>3600</v>
      </c>
      <c r="J22" s="3">
        <v>659.01</v>
      </c>
    </row>
    <row r="23" spans="1:10" x14ac:dyDescent="0.25">
      <c r="A23">
        <v>1022</v>
      </c>
      <c r="B23" s="2">
        <v>45873</v>
      </c>
      <c r="C23" t="s">
        <v>20</v>
      </c>
      <c r="D23" t="s">
        <v>46</v>
      </c>
      <c r="E23" t="s">
        <v>30</v>
      </c>
      <c r="F23" t="s">
        <v>22</v>
      </c>
      <c r="G23">
        <v>5</v>
      </c>
      <c r="H23" s="3">
        <v>3779.3</v>
      </c>
      <c r="I23" s="3">
        <v>3250</v>
      </c>
      <c r="J23" s="3">
        <v>529.29999999999995</v>
      </c>
    </row>
    <row r="24" spans="1:10" x14ac:dyDescent="0.25">
      <c r="A24">
        <v>1023</v>
      </c>
      <c r="B24" s="2">
        <v>46017</v>
      </c>
      <c r="C24" t="s">
        <v>47</v>
      </c>
      <c r="D24" t="s">
        <v>41</v>
      </c>
      <c r="E24" t="s">
        <v>42</v>
      </c>
      <c r="F24" t="s">
        <v>17</v>
      </c>
      <c r="G24">
        <v>5</v>
      </c>
      <c r="H24" s="3">
        <v>7666.38</v>
      </c>
      <c r="I24" s="3">
        <v>6500</v>
      </c>
      <c r="J24" s="3">
        <v>1166.3800000000001</v>
      </c>
    </row>
    <row r="25" spans="1:10" x14ac:dyDescent="0.25">
      <c r="A25">
        <v>1024</v>
      </c>
      <c r="B25" s="2">
        <v>45659</v>
      </c>
      <c r="C25" t="s">
        <v>48</v>
      </c>
      <c r="D25" t="s">
        <v>27</v>
      </c>
      <c r="E25" t="s">
        <v>16</v>
      </c>
      <c r="F25" t="s">
        <v>17</v>
      </c>
      <c r="G25">
        <v>5</v>
      </c>
      <c r="H25" s="3">
        <v>5002.6000000000004</v>
      </c>
      <c r="I25" s="3">
        <v>4500</v>
      </c>
      <c r="J25" s="3">
        <v>502.6</v>
      </c>
    </row>
    <row r="26" spans="1:10" x14ac:dyDescent="0.25">
      <c r="A26">
        <v>1025</v>
      </c>
      <c r="B26" s="2">
        <v>45735</v>
      </c>
      <c r="C26" t="s">
        <v>34</v>
      </c>
      <c r="D26" t="s">
        <v>49</v>
      </c>
      <c r="E26" t="s">
        <v>12</v>
      </c>
      <c r="F26" t="s">
        <v>13</v>
      </c>
      <c r="G26">
        <v>5</v>
      </c>
      <c r="H26" s="3">
        <v>70904.05</v>
      </c>
      <c r="I26" s="3">
        <v>60000</v>
      </c>
      <c r="J26" s="3">
        <v>10904.05</v>
      </c>
    </row>
    <row r="27" spans="1:10" x14ac:dyDescent="0.25">
      <c r="A27">
        <v>1026</v>
      </c>
      <c r="B27" s="2">
        <v>45892</v>
      </c>
      <c r="C27" t="s">
        <v>50</v>
      </c>
      <c r="D27" t="s">
        <v>21</v>
      </c>
      <c r="E27" t="s">
        <v>16</v>
      </c>
      <c r="F27" t="s">
        <v>19</v>
      </c>
      <c r="G27">
        <v>5</v>
      </c>
      <c r="H27" s="3">
        <v>2215.63</v>
      </c>
      <c r="I27" s="3">
        <v>1750</v>
      </c>
      <c r="J27" s="3">
        <v>465.63</v>
      </c>
    </row>
    <row r="28" spans="1:10" x14ac:dyDescent="0.25">
      <c r="A28">
        <v>1027</v>
      </c>
      <c r="B28" s="2">
        <v>46015</v>
      </c>
      <c r="C28" t="s">
        <v>51</v>
      </c>
      <c r="D28" t="s">
        <v>27</v>
      </c>
      <c r="E28" t="s">
        <v>16</v>
      </c>
      <c r="F28" t="s">
        <v>13</v>
      </c>
      <c r="G28">
        <v>4</v>
      </c>
      <c r="H28" s="3">
        <v>4172.79</v>
      </c>
      <c r="I28" s="3">
        <v>3600</v>
      </c>
      <c r="J28" s="3">
        <v>572.79</v>
      </c>
    </row>
    <row r="29" spans="1:10" x14ac:dyDescent="0.25">
      <c r="A29">
        <v>1028</v>
      </c>
      <c r="B29" s="2">
        <v>45779</v>
      </c>
      <c r="C29" t="s">
        <v>28</v>
      </c>
      <c r="D29" t="s">
        <v>44</v>
      </c>
      <c r="E29" t="s">
        <v>25</v>
      </c>
      <c r="F29" t="s">
        <v>22</v>
      </c>
      <c r="G29">
        <v>5</v>
      </c>
      <c r="H29" s="3">
        <v>35942.46</v>
      </c>
      <c r="I29" s="3">
        <v>32500</v>
      </c>
      <c r="J29" s="3">
        <v>3442.46</v>
      </c>
    </row>
    <row r="30" spans="1:10" x14ac:dyDescent="0.25">
      <c r="A30">
        <v>1029</v>
      </c>
      <c r="B30" s="2">
        <v>45670</v>
      </c>
      <c r="C30" t="s">
        <v>52</v>
      </c>
      <c r="D30" t="s">
        <v>49</v>
      </c>
      <c r="E30" t="s">
        <v>12</v>
      </c>
      <c r="F30" t="s">
        <v>19</v>
      </c>
      <c r="G30">
        <v>3</v>
      </c>
      <c r="H30" s="3">
        <v>42421.11</v>
      </c>
      <c r="I30" s="3">
        <v>36000</v>
      </c>
      <c r="J30" s="3">
        <v>6421.11</v>
      </c>
    </row>
    <row r="31" spans="1:10" x14ac:dyDescent="0.25">
      <c r="A31">
        <v>1030</v>
      </c>
      <c r="B31" s="2">
        <v>45703</v>
      </c>
      <c r="C31" t="s">
        <v>53</v>
      </c>
      <c r="D31" t="s">
        <v>11</v>
      </c>
      <c r="E31" t="s">
        <v>12</v>
      </c>
      <c r="F31" t="s">
        <v>17</v>
      </c>
      <c r="G31">
        <v>5</v>
      </c>
      <c r="H31" s="3">
        <v>139079.35</v>
      </c>
      <c r="I31" s="3">
        <v>110000</v>
      </c>
      <c r="J31" s="3">
        <v>29079.35</v>
      </c>
    </row>
    <row r="32" spans="1:10" x14ac:dyDescent="0.25">
      <c r="A32">
        <v>1031</v>
      </c>
      <c r="B32" s="2">
        <v>45804</v>
      </c>
      <c r="C32" t="s">
        <v>54</v>
      </c>
      <c r="D32" t="s">
        <v>41</v>
      </c>
      <c r="E32" t="s">
        <v>42</v>
      </c>
      <c r="F32" t="s">
        <v>22</v>
      </c>
      <c r="G32">
        <v>6</v>
      </c>
      <c r="H32" s="3">
        <v>9250.17</v>
      </c>
      <c r="I32" s="3">
        <v>7800</v>
      </c>
      <c r="J32" s="3">
        <v>1450.17</v>
      </c>
    </row>
    <row r="33" spans="1:10" x14ac:dyDescent="0.25">
      <c r="A33">
        <v>1032</v>
      </c>
      <c r="B33" s="2">
        <v>45756</v>
      </c>
      <c r="C33" t="s">
        <v>28</v>
      </c>
      <c r="D33" t="s">
        <v>32</v>
      </c>
      <c r="E33" t="s">
        <v>25</v>
      </c>
      <c r="F33" t="s">
        <v>22</v>
      </c>
      <c r="G33">
        <v>2</v>
      </c>
      <c r="H33" s="3">
        <v>12257.9</v>
      </c>
      <c r="I33" s="3">
        <v>11000</v>
      </c>
      <c r="J33" s="3">
        <v>1257.9000000000001</v>
      </c>
    </row>
    <row r="34" spans="1:10" x14ac:dyDescent="0.25">
      <c r="A34">
        <v>1033</v>
      </c>
      <c r="B34" s="2">
        <v>45764</v>
      </c>
      <c r="C34" t="s">
        <v>55</v>
      </c>
      <c r="D34" t="s">
        <v>49</v>
      </c>
      <c r="E34" t="s">
        <v>12</v>
      </c>
      <c r="F34" t="s">
        <v>22</v>
      </c>
      <c r="G34">
        <v>6</v>
      </c>
      <c r="H34" s="3">
        <v>92156.09</v>
      </c>
      <c r="I34" s="3">
        <v>72000</v>
      </c>
      <c r="J34" s="3">
        <v>20156.09</v>
      </c>
    </row>
    <row r="35" spans="1:10" x14ac:dyDescent="0.25">
      <c r="A35">
        <v>1034</v>
      </c>
      <c r="B35" s="2">
        <v>45887</v>
      </c>
      <c r="C35" t="s">
        <v>54</v>
      </c>
      <c r="D35" t="s">
        <v>46</v>
      </c>
      <c r="E35" t="s">
        <v>30</v>
      </c>
      <c r="F35" t="s">
        <v>17</v>
      </c>
      <c r="G35">
        <v>2</v>
      </c>
      <c r="H35" s="3">
        <v>1492.22</v>
      </c>
      <c r="I35" s="3">
        <v>1300</v>
      </c>
      <c r="J35" s="3">
        <v>192.22</v>
      </c>
    </row>
    <row r="36" spans="1:10" x14ac:dyDescent="0.25">
      <c r="A36">
        <v>1035</v>
      </c>
      <c r="B36" s="2">
        <v>45979</v>
      </c>
      <c r="C36" t="s">
        <v>47</v>
      </c>
      <c r="D36" t="s">
        <v>56</v>
      </c>
      <c r="E36" t="s">
        <v>12</v>
      </c>
      <c r="F36" t="s">
        <v>22</v>
      </c>
      <c r="G36">
        <v>2</v>
      </c>
      <c r="H36" s="3">
        <v>94103.85</v>
      </c>
      <c r="I36" s="3">
        <v>80000</v>
      </c>
      <c r="J36" s="3">
        <v>14103.85</v>
      </c>
    </row>
    <row r="37" spans="1:10" x14ac:dyDescent="0.25">
      <c r="A37">
        <v>1036</v>
      </c>
      <c r="B37" s="2">
        <v>45991</v>
      </c>
      <c r="C37" t="s">
        <v>35</v>
      </c>
      <c r="D37" t="s">
        <v>57</v>
      </c>
      <c r="E37" t="s">
        <v>42</v>
      </c>
      <c r="F37" t="s">
        <v>17</v>
      </c>
      <c r="G37">
        <v>1</v>
      </c>
      <c r="H37" s="3">
        <v>2230.2199999999998</v>
      </c>
      <c r="I37" s="3">
        <v>1800</v>
      </c>
      <c r="J37" s="3">
        <v>430.22</v>
      </c>
    </row>
    <row r="38" spans="1:10" x14ac:dyDescent="0.25">
      <c r="A38">
        <v>1037</v>
      </c>
      <c r="B38" s="2">
        <v>45836</v>
      </c>
      <c r="C38" t="s">
        <v>58</v>
      </c>
      <c r="D38" t="s">
        <v>24</v>
      </c>
      <c r="E38" t="s">
        <v>25</v>
      </c>
      <c r="F38" t="s">
        <v>13</v>
      </c>
      <c r="G38">
        <v>3</v>
      </c>
      <c r="H38" s="3">
        <v>10640.14</v>
      </c>
      <c r="I38" s="3">
        <v>9000</v>
      </c>
      <c r="J38" s="3">
        <v>1640.14</v>
      </c>
    </row>
    <row r="39" spans="1:10" x14ac:dyDescent="0.25">
      <c r="A39">
        <v>1038</v>
      </c>
      <c r="B39" s="2">
        <v>45979</v>
      </c>
      <c r="C39" t="s">
        <v>59</v>
      </c>
      <c r="D39" t="s">
        <v>60</v>
      </c>
      <c r="E39" t="s">
        <v>25</v>
      </c>
      <c r="F39" t="s">
        <v>22</v>
      </c>
      <c r="G39">
        <v>4</v>
      </c>
      <c r="H39" s="3">
        <v>39203.599999999999</v>
      </c>
      <c r="I39" s="3">
        <v>32000</v>
      </c>
      <c r="J39" s="3">
        <v>7203.6</v>
      </c>
    </row>
    <row r="40" spans="1:10" x14ac:dyDescent="0.25">
      <c r="A40">
        <v>1039</v>
      </c>
      <c r="B40" s="2">
        <v>45917</v>
      </c>
      <c r="C40" t="s">
        <v>50</v>
      </c>
      <c r="D40" t="s">
        <v>24</v>
      </c>
      <c r="E40" t="s">
        <v>25</v>
      </c>
      <c r="F40" t="s">
        <v>19</v>
      </c>
      <c r="G40">
        <v>4</v>
      </c>
      <c r="H40" s="3">
        <v>14153.95</v>
      </c>
      <c r="I40" s="3">
        <v>12000</v>
      </c>
      <c r="J40" s="3">
        <v>2153.9499999999998</v>
      </c>
    </row>
    <row r="41" spans="1:10" x14ac:dyDescent="0.25">
      <c r="A41">
        <v>1040</v>
      </c>
      <c r="B41" s="2">
        <v>45799</v>
      </c>
      <c r="C41" t="s">
        <v>61</v>
      </c>
      <c r="D41" t="s">
        <v>15</v>
      </c>
      <c r="E41" t="s">
        <v>16</v>
      </c>
      <c r="F41" t="s">
        <v>22</v>
      </c>
      <c r="G41">
        <v>4</v>
      </c>
      <c r="H41" s="3">
        <v>3008.62</v>
      </c>
      <c r="I41" s="3">
        <v>2400</v>
      </c>
      <c r="J41" s="3">
        <v>608.62</v>
      </c>
    </row>
    <row r="42" spans="1:10" x14ac:dyDescent="0.25">
      <c r="A42">
        <v>1041</v>
      </c>
      <c r="B42" s="2">
        <v>45700</v>
      </c>
      <c r="C42" t="s">
        <v>62</v>
      </c>
      <c r="D42" t="s">
        <v>46</v>
      </c>
      <c r="E42" t="s">
        <v>30</v>
      </c>
      <c r="F42" t="s">
        <v>22</v>
      </c>
      <c r="G42">
        <v>6</v>
      </c>
      <c r="H42" s="3">
        <v>4547.6499999999996</v>
      </c>
      <c r="I42" s="3">
        <v>3900</v>
      </c>
      <c r="J42" s="3">
        <v>647.65</v>
      </c>
    </row>
    <row r="43" spans="1:10" x14ac:dyDescent="0.25">
      <c r="A43">
        <v>1042</v>
      </c>
      <c r="B43" s="2">
        <v>45744</v>
      </c>
      <c r="C43" t="s">
        <v>63</v>
      </c>
      <c r="D43" t="s">
        <v>64</v>
      </c>
      <c r="E43" t="s">
        <v>30</v>
      </c>
      <c r="F43" t="s">
        <v>19</v>
      </c>
      <c r="G43">
        <v>4</v>
      </c>
      <c r="H43" s="3">
        <v>983.77</v>
      </c>
      <c r="I43" s="3">
        <v>800</v>
      </c>
      <c r="J43" s="3">
        <v>183.77</v>
      </c>
    </row>
    <row r="44" spans="1:10" x14ac:dyDescent="0.25">
      <c r="A44">
        <v>1043</v>
      </c>
      <c r="B44" s="2">
        <v>45666</v>
      </c>
      <c r="C44" t="s">
        <v>63</v>
      </c>
      <c r="D44" t="s">
        <v>29</v>
      </c>
      <c r="E44" t="s">
        <v>30</v>
      </c>
      <c r="F44" t="s">
        <v>22</v>
      </c>
      <c r="G44">
        <v>3</v>
      </c>
      <c r="H44" s="3">
        <v>1095.54</v>
      </c>
      <c r="I44" s="3">
        <v>900</v>
      </c>
      <c r="J44" s="3">
        <v>195.54</v>
      </c>
    </row>
    <row r="45" spans="1:10" x14ac:dyDescent="0.25">
      <c r="A45">
        <v>1044</v>
      </c>
      <c r="B45" s="2">
        <v>45970</v>
      </c>
      <c r="C45" t="s">
        <v>52</v>
      </c>
      <c r="D45" t="s">
        <v>32</v>
      </c>
      <c r="E45" t="s">
        <v>25</v>
      </c>
      <c r="F45" t="s">
        <v>13</v>
      </c>
      <c r="G45">
        <v>3</v>
      </c>
      <c r="H45" s="3">
        <v>19949.05</v>
      </c>
      <c r="I45" s="3">
        <v>16500</v>
      </c>
      <c r="J45" s="3">
        <v>3449.05</v>
      </c>
    </row>
    <row r="46" spans="1:10" x14ac:dyDescent="0.25">
      <c r="A46">
        <v>1045</v>
      </c>
      <c r="B46" s="2">
        <v>45815</v>
      </c>
      <c r="C46" t="s">
        <v>65</v>
      </c>
      <c r="D46" t="s">
        <v>49</v>
      </c>
      <c r="E46" t="s">
        <v>12</v>
      </c>
      <c r="F46" t="s">
        <v>13</v>
      </c>
      <c r="G46">
        <v>5</v>
      </c>
      <c r="H46" s="3">
        <v>74538.19</v>
      </c>
      <c r="I46" s="3">
        <v>60000</v>
      </c>
      <c r="J46" s="3">
        <v>14538.19</v>
      </c>
    </row>
    <row r="47" spans="1:10" x14ac:dyDescent="0.25">
      <c r="A47">
        <v>1046</v>
      </c>
      <c r="B47" s="2">
        <v>45949</v>
      </c>
      <c r="C47" t="s">
        <v>66</v>
      </c>
      <c r="D47" t="s">
        <v>36</v>
      </c>
      <c r="E47" t="s">
        <v>12</v>
      </c>
      <c r="F47" t="s">
        <v>22</v>
      </c>
      <c r="G47">
        <v>4</v>
      </c>
      <c r="H47" s="3">
        <v>11345.11</v>
      </c>
      <c r="I47" s="3">
        <v>10000</v>
      </c>
      <c r="J47" s="3">
        <v>1345.11</v>
      </c>
    </row>
    <row r="48" spans="1:10" x14ac:dyDescent="0.25">
      <c r="A48">
        <v>1047</v>
      </c>
      <c r="B48" s="2">
        <v>45961</v>
      </c>
      <c r="C48" t="s">
        <v>66</v>
      </c>
      <c r="D48" t="s">
        <v>56</v>
      </c>
      <c r="E48" t="s">
        <v>12</v>
      </c>
      <c r="F48" t="s">
        <v>13</v>
      </c>
      <c r="G48">
        <v>4</v>
      </c>
      <c r="H48" s="3">
        <v>181798.23</v>
      </c>
      <c r="I48" s="3">
        <v>160000</v>
      </c>
      <c r="J48" s="3">
        <v>21798.23</v>
      </c>
    </row>
    <row r="49" spans="1:10" x14ac:dyDescent="0.25">
      <c r="A49">
        <v>1048</v>
      </c>
      <c r="B49" s="2">
        <v>45925</v>
      </c>
      <c r="C49" t="s">
        <v>67</v>
      </c>
      <c r="D49" t="s">
        <v>29</v>
      </c>
      <c r="E49" t="s">
        <v>30</v>
      </c>
      <c r="F49" t="s">
        <v>17</v>
      </c>
      <c r="G49">
        <v>3</v>
      </c>
      <c r="H49" s="3">
        <v>1130.98</v>
      </c>
      <c r="I49" s="3">
        <v>900</v>
      </c>
      <c r="J49" s="3">
        <v>230.98</v>
      </c>
    </row>
    <row r="50" spans="1:10" x14ac:dyDescent="0.25">
      <c r="A50">
        <v>1049</v>
      </c>
      <c r="B50" s="2">
        <v>45676</v>
      </c>
      <c r="C50" t="s">
        <v>45</v>
      </c>
      <c r="D50" t="s">
        <v>29</v>
      </c>
      <c r="E50" t="s">
        <v>30</v>
      </c>
      <c r="F50" t="s">
        <v>19</v>
      </c>
      <c r="G50">
        <v>3</v>
      </c>
      <c r="H50" s="3">
        <v>1129.28</v>
      </c>
      <c r="I50" s="3">
        <v>900</v>
      </c>
      <c r="J50" s="3">
        <v>229.28</v>
      </c>
    </row>
    <row r="51" spans="1:10" x14ac:dyDescent="0.25">
      <c r="A51">
        <v>1050</v>
      </c>
      <c r="B51" s="2">
        <v>45965</v>
      </c>
      <c r="C51" t="s">
        <v>48</v>
      </c>
      <c r="D51" t="s">
        <v>41</v>
      </c>
      <c r="E51" t="s">
        <v>42</v>
      </c>
      <c r="F51" t="s">
        <v>13</v>
      </c>
      <c r="G51">
        <v>2</v>
      </c>
      <c r="H51" s="3">
        <v>2914.95</v>
      </c>
      <c r="I51" s="3">
        <v>2600</v>
      </c>
      <c r="J51" s="3">
        <v>314.95</v>
      </c>
    </row>
    <row r="52" spans="1:10" x14ac:dyDescent="0.25">
      <c r="A52">
        <v>1051</v>
      </c>
      <c r="B52" s="2">
        <v>45673</v>
      </c>
      <c r="C52" t="s">
        <v>35</v>
      </c>
      <c r="D52" t="s">
        <v>46</v>
      </c>
      <c r="E52" t="s">
        <v>30</v>
      </c>
      <c r="F52" t="s">
        <v>22</v>
      </c>
      <c r="G52">
        <v>5</v>
      </c>
      <c r="H52" s="3">
        <v>4046.2</v>
      </c>
      <c r="I52" s="3">
        <v>3250</v>
      </c>
      <c r="J52" s="3">
        <v>796.2</v>
      </c>
    </row>
    <row r="53" spans="1:10" x14ac:dyDescent="0.25">
      <c r="A53">
        <v>1052</v>
      </c>
      <c r="B53" s="2">
        <v>45882</v>
      </c>
      <c r="C53" t="s">
        <v>43</v>
      </c>
      <c r="D53" t="s">
        <v>29</v>
      </c>
      <c r="E53" t="s">
        <v>30</v>
      </c>
      <c r="F53" t="s">
        <v>22</v>
      </c>
      <c r="G53">
        <v>3</v>
      </c>
      <c r="H53" s="3">
        <v>999.66</v>
      </c>
      <c r="I53" s="3">
        <v>900</v>
      </c>
      <c r="J53" s="3">
        <v>99.66</v>
      </c>
    </row>
    <row r="54" spans="1:10" x14ac:dyDescent="0.25">
      <c r="A54">
        <v>1053</v>
      </c>
      <c r="B54" s="2">
        <v>45970</v>
      </c>
      <c r="C54" t="s">
        <v>68</v>
      </c>
      <c r="D54" t="s">
        <v>27</v>
      </c>
      <c r="E54" t="s">
        <v>16</v>
      </c>
      <c r="F54" t="s">
        <v>13</v>
      </c>
      <c r="G54">
        <v>6</v>
      </c>
      <c r="H54" s="3">
        <v>6369.54</v>
      </c>
      <c r="I54" s="3">
        <v>5400</v>
      </c>
      <c r="J54" s="3">
        <v>969.54</v>
      </c>
    </row>
    <row r="55" spans="1:10" x14ac:dyDescent="0.25">
      <c r="A55">
        <v>1054</v>
      </c>
      <c r="B55" s="2">
        <v>45839</v>
      </c>
      <c r="C55" t="s">
        <v>59</v>
      </c>
      <c r="D55" t="s">
        <v>21</v>
      </c>
      <c r="E55" t="s">
        <v>16</v>
      </c>
      <c r="F55" t="s">
        <v>22</v>
      </c>
      <c r="G55">
        <v>3</v>
      </c>
      <c r="H55" s="3">
        <v>1335.62</v>
      </c>
      <c r="I55" s="3">
        <v>1050</v>
      </c>
      <c r="J55" s="3">
        <v>285.62</v>
      </c>
    </row>
    <row r="56" spans="1:10" x14ac:dyDescent="0.25">
      <c r="A56">
        <v>1055</v>
      </c>
      <c r="B56" s="2">
        <v>45856</v>
      </c>
      <c r="C56" t="s">
        <v>37</v>
      </c>
      <c r="D56" t="s">
        <v>57</v>
      </c>
      <c r="E56" t="s">
        <v>42</v>
      </c>
      <c r="F56" t="s">
        <v>17</v>
      </c>
      <c r="G56">
        <v>1</v>
      </c>
      <c r="H56" s="3">
        <v>2120.2600000000002</v>
      </c>
      <c r="I56" s="3">
        <v>1800</v>
      </c>
      <c r="J56" s="3">
        <v>320.26</v>
      </c>
    </row>
    <row r="57" spans="1:10" x14ac:dyDescent="0.25">
      <c r="A57">
        <v>1056</v>
      </c>
      <c r="B57" s="2">
        <v>45753</v>
      </c>
      <c r="C57" t="s">
        <v>54</v>
      </c>
      <c r="D57" t="s">
        <v>57</v>
      </c>
      <c r="E57" t="s">
        <v>42</v>
      </c>
      <c r="F57" t="s">
        <v>22</v>
      </c>
      <c r="G57">
        <v>5</v>
      </c>
      <c r="H57" s="3">
        <v>10594.6</v>
      </c>
      <c r="I57" s="3">
        <v>9000</v>
      </c>
      <c r="J57" s="3">
        <v>1594.6</v>
      </c>
    </row>
    <row r="58" spans="1:10" x14ac:dyDescent="0.25">
      <c r="A58">
        <v>1057</v>
      </c>
      <c r="B58" s="2">
        <v>45683</v>
      </c>
      <c r="C58" t="s">
        <v>69</v>
      </c>
      <c r="D58" t="s">
        <v>64</v>
      </c>
      <c r="E58" t="s">
        <v>30</v>
      </c>
      <c r="F58" t="s">
        <v>17</v>
      </c>
      <c r="G58">
        <v>1</v>
      </c>
      <c r="H58" s="3">
        <v>225.96</v>
      </c>
      <c r="I58" s="3">
        <v>200</v>
      </c>
      <c r="J58" s="3">
        <v>25.96</v>
      </c>
    </row>
    <row r="59" spans="1:10" x14ac:dyDescent="0.25">
      <c r="A59">
        <v>1058</v>
      </c>
      <c r="B59" s="2">
        <v>45954</v>
      </c>
      <c r="C59" t="s">
        <v>54</v>
      </c>
      <c r="D59" t="s">
        <v>41</v>
      </c>
      <c r="E59" t="s">
        <v>42</v>
      </c>
      <c r="F59" t="s">
        <v>13</v>
      </c>
      <c r="G59">
        <v>1</v>
      </c>
      <c r="H59" s="3">
        <v>1578.87</v>
      </c>
      <c r="I59" s="3">
        <v>1300</v>
      </c>
      <c r="J59" s="3">
        <v>278.87</v>
      </c>
    </row>
    <row r="60" spans="1:10" x14ac:dyDescent="0.25">
      <c r="A60">
        <v>1059</v>
      </c>
      <c r="B60" s="2">
        <v>45812</v>
      </c>
      <c r="C60" t="s">
        <v>70</v>
      </c>
      <c r="D60" t="s">
        <v>11</v>
      </c>
      <c r="E60" t="s">
        <v>12</v>
      </c>
      <c r="F60" t="s">
        <v>17</v>
      </c>
      <c r="G60">
        <v>4</v>
      </c>
      <c r="H60" s="3">
        <v>106273.26</v>
      </c>
      <c r="I60" s="3">
        <v>88000</v>
      </c>
      <c r="J60" s="3">
        <v>18273.259999999998</v>
      </c>
    </row>
    <row r="61" spans="1:10" x14ac:dyDescent="0.25">
      <c r="A61">
        <v>1060</v>
      </c>
      <c r="B61" s="2">
        <v>45834</v>
      </c>
      <c r="C61" t="s">
        <v>45</v>
      </c>
      <c r="D61" t="s">
        <v>57</v>
      </c>
      <c r="E61" t="s">
        <v>42</v>
      </c>
      <c r="F61" t="s">
        <v>22</v>
      </c>
      <c r="G61">
        <v>4</v>
      </c>
      <c r="H61" s="3">
        <v>8131</v>
      </c>
      <c r="I61" s="3">
        <v>7200</v>
      </c>
      <c r="J61" s="3">
        <v>931</v>
      </c>
    </row>
    <row r="62" spans="1:10" x14ac:dyDescent="0.25">
      <c r="A62">
        <v>1061</v>
      </c>
      <c r="B62" s="2">
        <v>45826</v>
      </c>
      <c r="C62" t="s">
        <v>40</v>
      </c>
      <c r="D62" t="s">
        <v>11</v>
      </c>
      <c r="E62" t="s">
        <v>12</v>
      </c>
      <c r="F62" t="s">
        <v>22</v>
      </c>
      <c r="G62">
        <v>2</v>
      </c>
      <c r="H62" s="3">
        <v>55000.23</v>
      </c>
      <c r="I62" s="3">
        <v>44000</v>
      </c>
      <c r="J62" s="3">
        <v>11000.23</v>
      </c>
    </row>
    <row r="63" spans="1:10" x14ac:dyDescent="0.25">
      <c r="A63">
        <v>1062</v>
      </c>
      <c r="B63" s="2">
        <v>45736</v>
      </c>
      <c r="C63" t="s">
        <v>45</v>
      </c>
      <c r="D63" t="s">
        <v>39</v>
      </c>
      <c r="E63" t="s">
        <v>30</v>
      </c>
      <c r="F63" t="s">
        <v>17</v>
      </c>
      <c r="G63">
        <v>6</v>
      </c>
      <c r="H63" s="3">
        <v>5292.81</v>
      </c>
      <c r="I63" s="3">
        <v>4200</v>
      </c>
      <c r="J63" s="3">
        <v>1092.81</v>
      </c>
    </row>
    <row r="64" spans="1:10" x14ac:dyDescent="0.25">
      <c r="A64">
        <v>1063</v>
      </c>
      <c r="B64" s="2">
        <v>45861</v>
      </c>
      <c r="C64" t="s">
        <v>62</v>
      </c>
      <c r="D64" t="s">
        <v>49</v>
      </c>
      <c r="E64" t="s">
        <v>12</v>
      </c>
      <c r="F64" t="s">
        <v>19</v>
      </c>
      <c r="G64">
        <v>2</v>
      </c>
      <c r="H64" s="3">
        <v>26861.49</v>
      </c>
      <c r="I64" s="3">
        <v>24000</v>
      </c>
      <c r="J64" s="3">
        <v>2861.49</v>
      </c>
    </row>
    <row r="65" spans="1:10" x14ac:dyDescent="0.25">
      <c r="A65">
        <v>1064</v>
      </c>
      <c r="B65" s="2">
        <v>45806</v>
      </c>
      <c r="C65" t="s">
        <v>71</v>
      </c>
      <c r="D65" t="s">
        <v>46</v>
      </c>
      <c r="E65" t="s">
        <v>30</v>
      </c>
      <c r="F65" t="s">
        <v>19</v>
      </c>
      <c r="G65">
        <v>6</v>
      </c>
      <c r="H65" s="3">
        <v>4886.2700000000004</v>
      </c>
      <c r="I65" s="3">
        <v>3900</v>
      </c>
      <c r="J65" s="3">
        <v>986.27</v>
      </c>
    </row>
    <row r="66" spans="1:10" x14ac:dyDescent="0.25">
      <c r="A66">
        <v>1065</v>
      </c>
      <c r="B66" s="2">
        <v>45925</v>
      </c>
      <c r="C66" t="s">
        <v>72</v>
      </c>
      <c r="D66" t="s">
        <v>64</v>
      </c>
      <c r="E66" t="s">
        <v>30</v>
      </c>
      <c r="F66" t="s">
        <v>19</v>
      </c>
      <c r="G66">
        <v>4</v>
      </c>
      <c r="H66" s="3">
        <v>967.53</v>
      </c>
      <c r="I66" s="3">
        <v>800</v>
      </c>
      <c r="J66" s="3">
        <v>167.53</v>
      </c>
    </row>
    <row r="67" spans="1:10" x14ac:dyDescent="0.25">
      <c r="A67">
        <v>1066</v>
      </c>
      <c r="B67" s="2">
        <v>45664</v>
      </c>
      <c r="C67" t="s">
        <v>69</v>
      </c>
      <c r="D67" t="s">
        <v>41</v>
      </c>
      <c r="E67" t="s">
        <v>42</v>
      </c>
      <c r="F67" t="s">
        <v>17</v>
      </c>
      <c r="G67">
        <v>6</v>
      </c>
      <c r="H67" s="3">
        <v>9122.52</v>
      </c>
      <c r="I67" s="3">
        <v>7800</v>
      </c>
      <c r="J67" s="3">
        <v>1322.52</v>
      </c>
    </row>
    <row r="68" spans="1:10" x14ac:dyDescent="0.25">
      <c r="A68">
        <v>1067</v>
      </c>
      <c r="B68" s="2">
        <v>45919</v>
      </c>
      <c r="C68" t="s">
        <v>45</v>
      </c>
      <c r="D68" t="s">
        <v>15</v>
      </c>
      <c r="E68" t="s">
        <v>16</v>
      </c>
      <c r="F68" t="s">
        <v>13</v>
      </c>
      <c r="G68">
        <v>1</v>
      </c>
      <c r="H68" s="3">
        <v>722.31</v>
      </c>
      <c r="I68" s="3">
        <v>600</v>
      </c>
      <c r="J68" s="3">
        <v>122.31</v>
      </c>
    </row>
    <row r="69" spans="1:10" x14ac:dyDescent="0.25">
      <c r="A69">
        <v>1068</v>
      </c>
      <c r="B69" s="2">
        <v>45805</v>
      </c>
      <c r="C69" t="s">
        <v>28</v>
      </c>
      <c r="D69" t="s">
        <v>32</v>
      </c>
      <c r="E69" t="s">
        <v>25</v>
      </c>
      <c r="F69" t="s">
        <v>17</v>
      </c>
      <c r="G69">
        <v>1</v>
      </c>
      <c r="H69" s="3">
        <v>7009.13</v>
      </c>
      <c r="I69" s="3">
        <v>5500</v>
      </c>
      <c r="J69" s="3">
        <v>1509.13</v>
      </c>
    </row>
    <row r="70" spans="1:10" x14ac:dyDescent="0.25">
      <c r="A70">
        <v>1069</v>
      </c>
      <c r="B70" s="2">
        <v>45696</v>
      </c>
      <c r="C70" t="s">
        <v>70</v>
      </c>
      <c r="D70" t="s">
        <v>73</v>
      </c>
      <c r="E70" t="s">
        <v>16</v>
      </c>
      <c r="F70" t="s">
        <v>19</v>
      </c>
      <c r="G70">
        <v>1</v>
      </c>
      <c r="H70" s="3">
        <v>772.18</v>
      </c>
      <c r="I70" s="3">
        <v>700</v>
      </c>
      <c r="J70" s="3">
        <v>72.180000000000007</v>
      </c>
    </row>
    <row r="71" spans="1:10" x14ac:dyDescent="0.25">
      <c r="A71">
        <v>1070</v>
      </c>
      <c r="B71" s="2">
        <v>45749</v>
      </c>
      <c r="C71" t="s">
        <v>74</v>
      </c>
      <c r="D71" t="s">
        <v>11</v>
      </c>
      <c r="E71" t="s">
        <v>12</v>
      </c>
      <c r="F71" t="s">
        <v>13</v>
      </c>
      <c r="G71">
        <v>3</v>
      </c>
      <c r="H71" s="3">
        <v>76454.53</v>
      </c>
      <c r="I71" s="3">
        <v>66000</v>
      </c>
      <c r="J71" s="3">
        <v>10454.530000000001</v>
      </c>
    </row>
    <row r="72" spans="1:10" x14ac:dyDescent="0.25">
      <c r="A72">
        <v>1071</v>
      </c>
      <c r="B72" s="2">
        <v>45667</v>
      </c>
      <c r="C72" t="s">
        <v>28</v>
      </c>
      <c r="D72" t="s">
        <v>57</v>
      </c>
      <c r="E72" t="s">
        <v>42</v>
      </c>
      <c r="F72" t="s">
        <v>13</v>
      </c>
      <c r="G72">
        <v>2</v>
      </c>
      <c r="H72" s="3">
        <v>4147.3999999999996</v>
      </c>
      <c r="I72" s="3">
        <v>3600</v>
      </c>
      <c r="J72" s="3">
        <v>547.4</v>
      </c>
    </row>
    <row r="73" spans="1:10" x14ac:dyDescent="0.25">
      <c r="A73">
        <v>1072</v>
      </c>
      <c r="B73" s="2">
        <v>45784</v>
      </c>
      <c r="C73" t="s">
        <v>68</v>
      </c>
      <c r="D73" t="s">
        <v>73</v>
      </c>
      <c r="E73" t="s">
        <v>16</v>
      </c>
      <c r="F73" t="s">
        <v>22</v>
      </c>
      <c r="G73">
        <v>5</v>
      </c>
      <c r="H73" s="3">
        <v>4193.37</v>
      </c>
      <c r="I73" s="3">
        <v>3500</v>
      </c>
      <c r="J73" s="3">
        <v>693.37</v>
      </c>
    </row>
    <row r="74" spans="1:10" x14ac:dyDescent="0.25">
      <c r="A74">
        <v>1073</v>
      </c>
      <c r="B74" s="2">
        <v>45940</v>
      </c>
      <c r="C74" t="s">
        <v>75</v>
      </c>
      <c r="D74" t="s">
        <v>56</v>
      </c>
      <c r="E74" t="s">
        <v>12</v>
      </c>
      <c r="F74" t="s">
        <v>17</v>
      </c>
      <c r="G74">
        <v>2</v>
      </c>
      <c r="H74" s="3">
        <v>88078.65</v>
      </c>
      <c r="I74" s="3">
        <v>80000</v>
      </c>
      <c r="J74" s="3">
        <v>8078.65</v>
      </c>
    </row>
    <row r="75" spans="1:10" x14ac:dyDescent="0.25">
      <c r="A75">
        <v>1074</v>
      </c>
      <c r="B75" s="2">
        <v>46009</v>
      </c>
      <c r="C75" t="s">
        <v>63</v>
      </c>
      <c r="D75" t="s">
        <v>41</v>
      </c>
      <c r="E75" t="s">
        <v>42</v>
      </c>
      <c r="F75" t="s">
        <v>17</v>
      </c>
      <c r="G75">
        <v>1</v>
      </c>
      <c r="H75" s="3">
        <v>1592.2</v>
      </c>
      <c r="I75" s="3">
        <v>1300</v>
      </c>
      <c r="J75" s="3">
        <v>292.2</v>
      </c>
    </row>
    <row r="76" spans="1:10" x14ac:dyDescent="0.25">
      <c r="A76">
        <v>1075</v>
      </c>
      <c r="B76" s="2">
        <v>45996</v>
      </c>
      <c r="C76" t="s">
        <v>26</v>
      </c>
      <c r="D76" t="s">
        <v>21</v>
      </c>
      <c r="E76" t="s">
        <v>16</v>
      </c>
      <c r="F76" t="s">
        <v>22</v>
      </c>
      <c r="G76">
        <v>6</v>
      </c>
      <c r="H76" s="3">
        <v>2560.11</v>
      </c>
      <c r="I76" s="3">
        <v>2100</v>
      </c>
      <c r="J76" s="3">
        <v>460.11</v>
      </c>
    </row>
    <row r="77" spans="1:10" x14ac:dyDescent="0.25">
      <c r="A77">
        <v>1076</v>
      </c>
      <c r="B77" s="2">
        <v>45682</v>
      </c>
      <c r="C77" t="s">
        <v>20</v>
      </c>
      <c r="D77" t="s">
        <v>46</v>
      </c>
      <c r="E77" t="s">
        <v>30</v>
      </c>
      <c r="F77" t="s">
        <v>22</v>
      </c>
      <c r="G77">
        <v>2</v>
      </c>
      <c r="H77" s="3">
        <v>1442.35</v>
      </c>
      <c r="I77" s="3">
        <v>1300</v>
      </c>
      <c r="J77" s="3">
        <v>142.35</v>
      </c>
    </row>
    <row r="78" spans="1:10" x14ac:dyDescent="0.25">
      <c r="A78">
        <v>1077</v>
      </c>
      <c r="B78" s="2">
        <v>45891</v>
      </c>
      <c r="C78" t="s">
        <v>76</v>
      </c>
      <c r="D78" t="s">
        <v>44</v>
      </c>
      <c r="E78" t="s">
        <v>25</v>
      </c>
      <c r="F78" t="s">
        <v>22</v>
      </c>
      <c r="G78">
        <v>2</v>
      </c>
      <c r="H78" s="3">
        <v>14380.79</v>
      </c>
      <c r="I78" s="3">
        <v>13000</v>
      </c>
      <c r="J78" s="3">
        <v>1380.79</v>
      </c>
    </row>
    <row r="79" spans="1:10" x14ac:dyDescent="0.25">
      <c r="A79">
        <v>1078</v>
      </c>
      <c r="B79" s="2">
        <v>45908</v>
      </c>
      <c r="C79" t="s">
        <v>77</v>
      </c>
      <c r="D79" t="s">
        <v>32</v>
      </c>
      <c r="E79" t="s">
        <v>25</v>
      </c>
      <c r="F79" t="s">
        <v>19</v>
      </c>
      <c r="G79">
        <v>6</v>
      </c>
      <c r="H79" s="3">
        <v>36719.1</v>
      </c>
      <c r="I79" s="3">
        <v>33000</v>
      </c>
      <c r="J79" s="3">
        <v>3719.1</v>
      </c>
    </row>
    <row r="80" spans="1:10" x14ac:dyDescent="0.25">
      <c r="A80">
        <v>1079</v>
      </c>
      <c r="B80" s="2">
        <v>45748</v>
      </c>
      <c r="C80" t="s">
        <v>38</v>
      </c>
      <c r="D80" t="s">
        <v>36</v>
      </c>
      <c r="E80" t="s">
        <v>12</v>
      </c>
      <c r="F80" t="s">
        <v>17</v>
      </c>
      <c r="G80">
        <v>4</v>
      </c>
      <c r="H80" s="3">
        <v>11023.95</v>
      </c>
      <c r="I80" s="3">
        <v>10000</v>
      </c>
      <c r="J80" s="3">
        <v>1023.95</v>
      </c>
    </row>
    <row r="81" spans="1:10" x14ac:dyDescent="0.25">
      <c r="A81">
        <v>1080</v>
      </c>
      <c r="B81" s="2">
        <v>45926</v>
      </c>
      <c r="C81" t="s">
        <v>72</v>
      </c>
      <c r="D81" t="s">
        <v>60</v>
      </c>
      <c r="E81" t="s">
        <v>25</v>
      </c>
      <c r="F81" t="s">
        <v>17</v>
      </c>
      <c r="G81">
        <v>2</v>
      </c>
      <c r="H81" s="3">
        <v>19808.68</v>
      </c>
      <c r="I81" s="3">
        <v>16000</v>
      </c>
      <c r="J81" s="3">
        <v>3808.68</v>
      </c>
    </row>
    <row r="82" spans="1:10" x14ac:dyDescent="0.25">
      <c r="A82">
        <v>1081</v>
      </c>
      <c r="B82" s="2">
        <v>45805</v>
      </c>
      <c r="C82" t="s">
        <v>66</v>
      </c>
      <c r="D82" t="s">
        <v>64</v>
      </c>
      <c r="E82" t="s">
        <v>30</v>
      </c>
      <c r="F82" t="s">
        <v>19</v>
      </c>
      <c r="G82">
        <v>3</v>
      </c>
      <c r="H82" s="3">
        <v>747.45</v>
      </c>
      <c r="I82" s="3">
        <v>600</v>
      </c>
      <c r="J82" s="3">
        <v>147.44999999999999</v>
      </c>
    </row>
    <row r="83" spans="1:10" x14ac:dyDescent="0.25">
      <c r="A83">
        <v>1082</v>
      </c>
      <c r="B83" s="2">
        <v>45983</v>
      </c>
      <c r="C83" t="s">
        <v>37</v>
      </c>
      <c r="D83" t="s">
        <v>39</v>
      </c>
      <c r="E83" t="s">
        <v>30</v>
      </c>
      <c r="F83" t="s">
        <v>17</v>
      </c>
      <c r="G83">
        <v>4</v>
      </c>
      <c r="H83" s="3">
        <v>3521.29</v>
      </c>
      <c r="I83" s="3">
        <v>2800</v>
      </c>
      <c r="J83" s="3">
        <v>721.29</v>
      </c>
    </row>
    <row r="84" spans="1:10" x14ac:dyDescent="0.25">
      <c r="A84">
        <v>1083</v>
      </c>
      <c r="B84" s="2">
        <v>45982</v>
      </c>
      <c r="C84" t="s">
        <v>78</v>
      </c>
      <c r="D84" t="s">
        <v>11</v>
      </c>
      <c r="E84" t="s">
        <v>12</v>
      </c>
      <c r="F84" t="s">
        <v>17</v>
      </c>
      <c r="G84">
        <v>5</v>
      </c>
      <c r="H84" s="3">
        <v>122194.58</v>
      </c>
      <c r="I84" s="3">
        <v>110000</v>
      </c>
      <c r="J84" s="3">
        <v>12194.58</v>
      </c>
    </row>
    <row r="85" spans="1:10" x14ac:dyDescent="0.25">
      <c r="A85">
        <v>1084</v>
      </c>
      <c r="B85" s="2">
        <v>45767</v>
      </c>
      <c r="C85" t="s">
        <v>47</v>
      </c>
      <c r="D85" t="s">
        <v>79</v>
      </c>
      <c r="E85" t="s">
        <v>42</v>
      </c>
      <c r="F85" t="s">
        <v>13</v>
      </c>
      <c r="G85">
        <v>3</v>
      </c>
      <c r="H85" s="3">
        <v>2635.23</v>
      </c>
      <c r="I85" s="3">
        <v>2100</v>
      </c>
      <c r="J85" s="3">
        <v>535.23</v>
      </c>
    </row>
    <row r="86" spans="1:10" x14ac:dyDescent="0.25">
      <c r="A86">
        <v>1085</v>
      </c>
      <c r="B86" s="2">
        <v>45671</v>
      </c>
      <c r="C86" t="s">
        <v>80</v>
      </c>
      <c r="D86" t="s">
        <v>32</v>
      </c>
      <c r="E86" t="s">
        <v>25</v>
      </c>
      <c r="F86" t="s">
        <v>22</v>
      </c>
      <c r="G86">
        <v>5</v>
      </c>
      <c r="H86" s="3">
        <v>33563.300000000003</v>
      </c>
      <c r="I86" s="3">
        <v>27500</v>
      </c>
      <c r="J86" s="3">
        <v>6063.3</v>
      </c>
    </row>
    <row r="87" spans="1:10" x14ac:dyDescent="0.25">
      <c r="A87">
        <v>1086</v>
      </c>
      <c r="B87" s="2">
        <v>45811</v>
      </c>
      <c r="C87" t="s">
        <v>76</v>
      </c>
      <c r="D87" t="s">
        <v>27</v>
      </c>
      <c r="E87" t="s">
        <v>16</v>
      </c>
      <c r="F87" t="s">
        <v>13</v>
      </c>
      <c r="G87">
        <v>4</v>
      </c>
      <c r="H87" s="3">
        <v>4073.75</v>
      </c>
      <c r="I87" s="3">
        <v>3600</v>
      </c>
      <c r="J87" s="3">
        <v>473.75</v>
      </c>
    </row>
    <row r="88" spans="1:10" x14ac:dyDescent="0.25">
      <c r="A88">
        <v>1087</v>
      </c>
      <c r="B88" s="2">
        <v>45672</v>
      </c>
      <c r="C88" t="s">
        <v>67</v>
      </c>
      <c r="D88" t="s">
        <v>73</v>
      </c>
      <c r="E88" t="s">
        <v>16</v>
      </c>
      <c r="F88" t="s">
        <v>13</v>
      </c>
      <c r="G88">
        <v>5</v>
      </c>
      <c r="H88" s="3">
        <v>3947.02</v>
      </c>
      <c r="I88" s="3">
        <v>3500</v>
      </c>
      <c r="J88" s="3">
        <v>447.02</v>
      </c>
    </row>
    <row r="89" spans="1:10" x14ac:dyDescent="0.25">
      <c r="A89">
        <v>1088</v>
      </c>
      <c r="B89" s="2">
        <v>45831</v>
      </c>
      <c r="C89" t="s">
        <v>81</v>
      </c>
      <c r="D89" t="s">
        <v>39</v>
      </c>
      <c r="E89" t="s">
        <v>30</v>
      </c>
      <c r="F89" t="s">
        <v>22</v>
      </c>
      <c r="G89">
        <v>6</v>
      </c>
      <c r="H89" s="3">
        <v>4974.8100000000004</v>
      </c>
      <c r="I89" s="3">
        <v>4200</v>
      </c>
      <c r="J89" s="3">
        <v>774.81</v>
      </c>
    </row>
    <row r="90" spans="1:10" x14ac:dyDescent="0.25">
      <c r="A90">
        <v>1089</v>
      </c>
      <c r="B90" s="2">
        <v>45960</v>
      </c>
      <c r="C90" t="s">
        <v>38</v>
      </c>
      <c r="D90" t="s">
        <v>73</v>
      </c>
      <c r="E90" t="s">
        <v>16</v>
      </c>
      <c r="F90" t="s">
        <v>13</v>
      </c>
      <c r="G90">
        <v>2</v>
      </c>
      <c r="H90" s="3">
        <v>1658.35</v>
      </c>
      <c r="I90" s="3">
        <v>1400</v>
      </c>
      <c r="J90" s="3">
        <v>258.35000000000002</v>
      </c>
    </row>
    <row r="91" spans="1:10" x14ac:dyDescent="0.25">
      <c r="A91">
        <v>1090</v>
      </c>
      <c r="B91" s="2">
        <v>45911</v>
      </c>
      <c r="C91" t="s">
        <v>66</v>
      </c>
      <c r="D91" t="s">
        <v>39</v>
      </c>
      <c r="E91" t="s">
        <v>30</v>
      </c>
      <c r="F91" t="s">
        <v>22</v>
      </c>
      <c r="G91">
        <v>3</v>
      </c>
      <c r="H91" s="3">
        <v>2557.0700000000002</v>
      </c>
      <c r="I91" s="3">
        <v>2100</v>
      </c>
      <c r="J91" s="3">
        <v>457.07</v>
      </c>
    </row>
    <row r="92" spans="1:10" x14ac:dyDescent="0.25">
      <c r="A92">
        <v>1091</v>
      </c>
      <c r="B92" s="2">
        <v>45734</v>
      </c>
      <c r="C92" t="s">
        <v>82</v>
      </c>
      <c r="D92" t="s">
        <v>44</v>
      </c>
      <c r="E92" t="s">
        <v>25</v>
      </c>
      <c r="F92" t="s">
        <v>17</v>
      </c>
      <c r="G92">
        <v>6</v>
      </c>
      <c r="H92" s="3">
        <v>49488.54</v>
      </c>
      <c r="I92" s="3">
        <v>39000</v>
      </c>
      <c r="J92" s="3">
        <v>10488.54</v>
      </c>
    </row>
    <row r="93" spans="1:10" x14ac:dyDescent="0.25">
      <c r="A93">
        <v>1092</v>
      </c>
      <c r="B93" s="2">
        <v>45892</v>
      </c>
      <c r="C93" t="s">
        <v>51</v>
      </c>
      <c r="D93" t="s">
        <v>11</v>
      </c>
      <c r="E93" t="s">
        <v>12</v>
      </c>
      <c r="F93" t="s">
        <v>17</v>
      </c>
      <c r="G93">
        <v>6</v>
      </c>
      <c r="H93" s="3">
        <v>153148.26</v>
      </c>
      <c r="I93" s="3">
        <v>132000</v>
      </c>
      <c r="J93" s="3">
        <v>21148.26</v>
      </c>
    </row>
    <row r="94" spans="1:10" x14ac:dyDescent="0.25">
      <c r="A94">
        <v>1093</v>
      </c>
      <c r="B94" s="2">
        <v>45852</v>
      </c>
      <c r="C94" t="s">
        <v>62</v>
      </c>
      <c r="D94" t="s">
        <v>64</v>
      </c>
      <c r="E94" t="s">
        <v>30</v>
      </c>
      <c r="F94" t="s">
        <v>17</v>
      </c>
      <c r="G94">
        <v>1</v>
      </c>
      <c r="H94" s="3">
        <v>252.89</v>
      </c>
      <c r="I94" s="3">
        <v>200</v>
      </c>
      <c r="J94" s="3">
        <v>52.89</v>
      </c>
    </row>
    <row r="95" spans="1:10" x14ac:dyDescent="0.25">
      <c r="A95">
        <v>1094</v>
      </c>
      <c r="B95" s="2">
        <v>45723</v>
      </c>
      <c r="C95" t="s">
        <v>70</v>
      </c>
      <c r="D95" t="s">
        <v>11</v>
      </c>
      <c r="E95" t="s">
        <v>12</v>
      </c>
      <c r="F95" t="s">
        <v>13</v>
      </c>
      <c r="G95">
        <v>1</v>
      </c>
      <c r="H95" s="3">
        <v>27885.5</v>
      </c>
      <c r="I95" s="3">
        <v>22000</v>
      </c>
      <c r="J95" s="3">
        <v>5885.5</v>
      </c>
    </row>
    <row r="96" spans="1:10" x14ac:dyDescent="0.25">
      <c r="A96">
        <v>1095</v>
      </c>
      <c r="B96" s="2">
        <v>45995</v>
      </c>
      <c r="C96" t="s">
        <v>62</v>
      </c>
      <c r="D96" t="s">
        <v>15</v>
      </c>
      <c r="E96" t="s">
        <v>16</v>
      </c>
      <c r="F96" t="s">
        <v>17</v>
      </c>
      <c r="G96">
        <v>5</v>
      </c>
      <c r="H96" s="3">
        <v>3795.12</v>
      </c>
      <c r="I96" s="3">
        <v>3000</v>
      </c>
      <c r="J96" s="3">
        <v>795.12</v>
      </c>
    </row>
    <row r="97" spans="1:10" x14ac:dyDescent="0.25">
      <c r="A97">
        <v>1096</v>
      </c>
      <c r="B97" s="2">
        <v>45710</v>
      </c>
      <c r="C97" t="s">
        <v>70</v>
      </c>
      <c r="D97" t="s">
        <v>36</v>
      </c>
      <c r="E97" t="s">
        <v>12</v>
      </c>
      <c r="F97" t="s">
        <v>19</v>
      </c>
      <c r="G97">
        <v>3</v>
      </c>
      <c r="H97" s="3">
        <v>9341.24</v>
      </c>
      <c r="I97" s="3">
        <v>7500</v>
      </c>
      <c r="J97" s="3">
        <v>1841.24</v>
      </c>
    </row>
    <row r="98" spans="1:10" x14ac:dyDescent="0.25">
      <c r="A98">
        <v>1097</v>
      </c>
      <c r="B98" s="2">
        <v>45748</v>
      </c>
      <c r="C98" t="s">
        <v>83</v>
      </c>
      <c r="D98" t="s">
        <v>79</v>
      </c>
      <c r="E98" t="s">
        <v>42</v>
      </c>
      <c r="F98" t="s">
        <v>13</v>
      </c>
      <c r="G98">
        <v>6</v>
      </c>
      <c r="H98" s="3">
        <v>4922.17</v>
      </c>
      <c r="I98" s="3">
        <v>4200</v>
      </c>
      <c r="J98" s="3">
        <v>722.17</v>
      </c>
    </row>
    <row r="99" spans="1:10" x14ac:dyDescent="0.25">
      <c r="A99">
        <v>1098</v>
      </c>
      <c r="B99" s="2">
        <v>46006</v>
      </c>
      <c r="C99" t="s">
        <v>20</v>
      </c>
      <c r="D99" t="s">
        <v>84</v>
      </c>
      <c r="E99" t="s">
        <v>42</v>
      </c>
      <c r="F99" t="s">
        <v>13</v>
      </c>
      <c r="G99">
        <v>6</v>
      </c>
      <c r="H99" s="3">
        <v>16921.810000000001</v>
      </c>
      <c r="I99" s="3">
        <v>15000</v>
      </c>
      <c r="J99" s="3">
        <v>1921.81</v>
      </c>
    </row>
    <row r="100" spans="1:10" x14ac:dyDescent="0.25">
      <c r="A100">
        <v>1099</v>
      </c>
      <c r="B100" s="2">
        <v>45921</v>
      </c>
      <c r="C100" t="s">
        <v>67</v>
      </c>
      <c r="D100" t="s">
        <v>64</v>
      </c>
      <c r="E100" t="s">
        <v>30</v>
      </c>
      <c r="F100" t="s">
        <v>22</v>
      </c>
      <c r="G100">
        <v>4</v>
      </c>
      <c r="H100" s="3">
        <v>978.8</v>
      </c>
      <c r="I100" s="3">
        <v>800</v>
      </c>
      <c r="J100" s="3">
        <v>178.8</v>
      </c>
    </row>
    <row r="101" spans="1:10" x14ac:dyDescent="0.25">
      <c r="A101">
        <v>1100</v>
      </c>
      <c r="B101" s="2">
        <v>45755</v>
      </c>
      <c r="C101" t="s">
        <v>37</v>
      </c>
      <c r="D101" t="s">
        <v>36</v>
      </c>
      <c r="E101" t="s">
        <v>12</v>
      </c>
      <c r="F101" t="s">
        <v>13</v>
      </c>
      <c r="G101">
        <v>5</v>
      </c>
      <c r="H101" s="3">
        <v>15391.35</v>
      </c>
      <c r="I101" s="3">
        <v>12500</v>
      </c>
      <c r="J101" s="3">
        <v>2891.35</v>
      </c>
    </row>
    <row r="102" spans="1:10" x14ac:dyDescent="0.25">
      <c r="A102">
        <v>1101</v>
      </c>
      <c r="B102" s="2">
        <v>45694</v>
      </c>
      <c r="C102" t="s">
        <v>78</v>
      </c>
      <c r="D102" t="s">
        <v>73</v>
      </c>
      <c r="E102" t="s">
        <v>16</v>
      </c>
      <c r="F102" t="s">
        <v>17</v>
      </c>
      <c r="G102">
        <v>4</v>
      </c>
      <c r="H102" s="3">
        <v>3124.72</v>
      </c>
      <c r="I102" s="3">
        <v>2800</v>
      </c>
      <c r="J102" s="3">
        <v>324.72000000000003</v>
      </c>
    </row>
    <row r="103" spans="1:10" x14ac:dyDescent="0.25">
      <c r="A103">
        <v>1102</v>
      </c>
      <c r="B103" s="2">
        <v>45890</v>
      </c>
      <c r="C103" t="s">
        <v>20</v>
      </c>
      <c r="D103" t="s">
        <v>41</v>
      </c>
      <c r="E103" t="s">
        <v>42</v>
      </c>
      <c r="F103" t="s">
        <v>13</v>
      </c>
      <c r="G103">
        <v>6</v>
      </c>
      <c r="H103" s="3">
        <v>8819.81</v>
      </c>
      <c r="I103" s="3">
        <v>7800</v>
      </c>
      <c r="J103" s="3">
        <v>1019.81</v>
      </c>
    </row>
    <row r="104" spans="1:10" x14ac:dyDescent="0.25">
      <c r="A104">
        <v>1103</v>
      </c>
      <c r="B104" s="2">
        <v>45784</v>
      </c>
      <c r="C104" t="s">
        <v>37</v>
      </c>
      <c r="D104" t="s">
        <v>44</v>
      </c>
      <c r="E104" t="s">
        <v>25</v>
      </c>
      <c r="F104" t="s">
        <v>17</v>
      </c>
      <c r="G104">
        <v>3</v>
      </c>
      <c r="H104" s="3">
        <v>23517.63</v>
      </c>
      <c r="I104" s="3">
        <v>19500</v>
      </c>
      <c r="J104" s="3">
        <v>4017.63</v>
      </c>
    </row>
    <row r="105" spans="1:10" x14ac:dyDescent="0.25">
      <c r="A105">
        <v>1104</v>
      </c>
      <c r="B105" s="2">
        <v>45906</v>
      </c>
      <c r="C105" t="s">
        <v>33</v>
      </c>
      <c r="D105" t="s">
        <v>21</v>
      </c>
      <c r="E105" t="s">
        <v>16</v>
      </c>
      <c r="F105" t="s">
        <v>19</v>
      </c>
      <c r="G105">
        <v>3</v>
      </c>
      <c r="H105" s="3">
        <v>1219.58</v>
      </c>
      <c r="I105" s="3">
        <v>1050</v>
      </c>
      <c r="J105" s="3">
        <v>169.58</v>
      </c>
    </row>
    <row r="106" spans="1:10" x14ac:dyDescent="0.25">
      <c r="A106">
        <v>1105</v>
      </c>
      <c r="B106" s="2">
        <v>45914</v>
      </c>
      <c r="C106" t="s">
        <v>85</v>
      </c>
      <c r="D106" t="s">
        <v>29</v>
      </c>
      <c r="E106" t="s">
        <v>30</v>
      </c>
      <c r="F106" t="s">
        <v>22</v>
      </c>
      <c r="G106">
        <v>1</v>
      </c>
      <c r="H106" s="3">
        <v>351.95</v>
      </c>
      <c r="I106" s="3">
        <v>300</v>
      </c>
      <c r="J106" s="3">
        <v>51.95</v>
      </c>
    </row>
    <row r="107" spans="1:10" x14ac:dyDescent="0.25">
      <c r="A107">
        <v>1106</v>
      </c>
      <c r="B107" s="2">
        <v>45745</v>
      </c>
      <c r="C107" t="s">
        <v>35</v>
      </c>
      <c r="D107" t="s">
        <v>49</v>
      </c>
      <c r="E107" t="s">
        <v>12</v>
      </c>
      <c r="F107" t="s">
        <v>17</v>
      </c>
      <c r="G107">
        <v>4</v>
      </c>
      <c r="H107" s="3">
        <v>56511.79</v>
      </c>
      <c r="I107" s="3">
        <v>48000</v>
      </c>
      <c r="J107" s="3">
        <v>8511.7900000000009</v>
      </c>
    </row>
    <row r="108" spans="1:10" x14ac:dyDescent="0.25">
      <c r="A108">
        <v>1107</v>
      </c>
      <c r="B108" s="2">
        <v>45894</v>
      </c>
      <c r="C108" t="s">
        <v>72</v>
      </c>
      <c r="D108" t="s">
        <v>41</v>
      </c>
      <c r="E108" t="s">
        <v>42</v>
      </c>
      <c r="F108" t="s">
        <v>17</v>
      </c>
      <c r="G108">
        <v>1</v>
      </c>
      <c r="H108" s="3">
        <v>1621.83</v>
      </c>
      <c r="I108" s="3">
        <v>1300</v>
      </c>
      <c r="J108" s="3">
        <v>321.83</v>
      </c>
    </row>
    <row r="109" spans="1:10" x14ac:dyDescent="0.25">
      <c r="A109">
        <v>1108</v>
      </c>
      <c r="B109" s="2">
        <v>45661</v>
      </c>
      <c r="C109" t="s">
        <v>66</v>
      </c>
      <c r="D109" t="s">
        <v>39</v>
      </c>
      <c r="E109" t="s">
        <v>30</v>
      </c>
      <c r="F109" t="s">
        <v>22</v>
      </c>
      <c r="G109">
        <v>6</v>
      </c>
      <c r="H109" s="3">
        <v>5036.3599999999997</v>
      </c>
      <c r="I109" s="3">
        <v>4200</v>
      </c>
      <c r="J109" s="3">
        <v>836.36</v>
      </c>
    </row>
    <row r="110" spans="1:10" x14ac:dyDescent="0.25">
      <c r="A110">
        <v>1109</v>
      </c>
      <c r="B110" s="2">
        <v>45701</v>
      </c>
      <c r="C110" t="s">
        <v>74</v>
      </c>
      <c r="D110" t="s">
        <v>21</v>
      </c>
      <c r="E110" t="s">
        <v>16</v>
      </c>
      <c r="F110" t="s">
        <v>13</v>
      </c>
      <c r="G110">
        <v>1</v>
      </c>
      <c r="H110" s="3">
        <v>432.44</v>
      </c>
      <c r="I110" s="3">
        <v>350</v>
      </c>
      <c r="J110" s="3">
        <v>82.44</v>
      </c>
    </row>
    <row r="111" spans="1:10" x14ac:dyDescent="0.25">
      <c r="A111">
        <v>1110</v>
      </c>
      <c r="B111" s="2">
        <v>45859</v>
      </c>
      <c r="C111" t="s">
        <v>76</v>
      </c>
      <c r="D111" t="s">
        <v>56</v>
      </c>
      <c r="E111" t="s">
        <v>12</v>
      </c>
      <c r="F111" t="s">
        <v>22</v>
      </c>
      <c r="G111">
        <v>4</v>
      </c>
      <c r="H111" s="3">
        <v>204728.99</v>
      </c>
      <c r="I111" s="3">
        <v>160000</v>
      </c>
      <c r="J111" s="3">
        <v>44728.99</v>
      </c>
    </row>
    <row r="112" spans="1:10" x14ac:dyDescent="0.25">
      <c r="A112">
        <v>1111</v>
      </c>
      <c r="B112" s="2">
        <v>46014</v>
      </c>
      <c r="C112" t="s">
        <v>37</v>
      </c>
      <c r="D112" t="s">
        <v>21</v>
      </c>
      <c r="E112" t="s">
        <v>16</v>
      </c>
      <c r="F112" t="s">
        <v>22</v>
      </c>
      <c r="G112">
        <v>3</v>
      </c>
      <c r="H112" s="3">
        <v>1261.2</v>
      </c>
      <c r="I112" s="3">
        <v>1050</v>
      </c>
      <c r="J112" s="3">
        <v>211.2</v>
      </c>
    </row>
    <row r="113" spans="1:10" x14ac:dyDescent="0.25">
      <c r="A113">
        <v>1112</v>
      </c>
      <c r="B113" s="2">
        <v>45743</v>
      </c>
      <c r="C113" t="s">
        <v>55</v>
      </c>
      <c r="D113" t="s">
        <v>84</v>
      </c>
      <c r="E113" t="s">
        <v>42</v>
      </c>
      <c r="F113" t="s">
        <v>22</v>
      </c>
      <c r="G113">
        <v>4</v>
      </c>
      <c r="H113" s="3">
        <v>11899.17</v>
      </c>
      <c r="I113" s="3">
        <v>10000</v>
      </c>
      <c r="J113" s="3">
        <v>1899.17</v>
      </c>
    </row>
    <row r="114" spans="1:10" x14ac:dyDescent="0.25">
      <c r="A114">
        <v>1113</v>
      </c>
      <c r="B114" s="2">
        <v>45812</v>
      </c>
      <c r="C114" t="s">
        <v>75</v>
      </c>
      <c r="D114" t="s">
        <v>46</v>
      </c>
      <c r="E114" t="s">
        <v>30</v>
      </c>
      <c r="F114" t="s">
        <v>19</v>
      </c>
      <c r="G114">
        <v>4</v>
      </c>
      <c r="H114" s="3">
        <v>3139.89</v>
      </c>
      <c r="I114" s="3">
        <v>2600</v>
      </c>
      <c r="J114" s="3">
        <v>539.89</v>
      </c>
    </row>
    <row r="115" spans="1:10" x14ac:dyDescent="0.25">
      <c r="A115">
        <v>1114</v>
      </c>
      <c r="B115" s="2">
        <v>45981</v>
      </c>
      <c r="C115" t="s">
        <v>69</v>
      </c>
      <c r="D115" t="s">
        <v>27</v>
      </c>
      <c r="E115" t="s">
        <v>16</v>
      </c>
      <c r="F115" t="s">
        <v>19</v>
      </c>
      <c r="G115">
        <v>3</v>
      </c>
      <c r="H115" s="3">
        <v>3059.3</v>
      </c>
      <c r="I115" s="3">
        <v>2700</v>
      </c>
      <c r="J115" s="3">
        <v>359.3</v>
      </c>
    </row>
    <row r="116" spans="1:10" x14ac:dyDescent="0.25">
      <c r="A116">
        <v>1115</v>
      </c>
      <c r="B116" s="2">
        <v>45966</v>
      </c>
      <c r="C116" t="s">
        <v>75</v>
      </c>
      <c r="D116" t="s">
        <v>41</v>
      </c>
      <c r="E116" t="s">
        <v>42</v>
      </c>
      <c r="F116" t="s">
        <v>17</v>
      </c>
      <c r="G116">
        <v>5</v>
      </c>
      <c r="H116" s="3">
        <v>8061.84</v>
      </c>
      <c r="I116" s="3">
        <v>6500</v>
      </c>
      <c r="J116" s="3">
        <v>1561.84</v>
      </c>
    </row>
    <row r="117" spans="1:10" x14ac:dyDescent="0.25">
      <c r="A117">
        <v>1116</v>
      </c>
      <c r="B117" s="2">
        <v>45687</v>
      </c>
      <c r="C117" t="s">
        <v>23</v>
      </c>
      <c r="D117" t="s">
        <v>41</v>
      </c>
      <c r="E117" t="s">
        <v>42</v>
      </c>
      <c r="F117" t="s">
        <v>13</v>
      </c>
      <c r="G117">
        <v>4</v>
      </c>
      <c r="H117" s="3">
        <v>6648.46</v>
      </c>
      <c r="I117" s="3">
        <v>5200</v>
      </c>
      <c r="J117" s="3">
        <v>1448.46</v>
      </c>
    </row>
    <row r="118" spans="1:10" x14ac:dyDescent="0.25">
      <c r="A118">
        <v>1117</v>
      </c>
      <c r="B118" s="2">
        <v>45758</v>
      </c>
      <c r="C118" t="s">
        <v>81</v>
      </c>
      <c r="D118" t="s">
        <v>56</v>
      </c>
      <c r="E118" t="s">
        <v>12</v>
      </c>
      <c r="F118" t="s">
        <v>13</v>
      </c>
      <c r="G118">
        <v>2</v>
      </c>
      <c r="H118" s="3">
        <v>94724.24</v>
      </c>
      <c r="I118" s="3">
        <v>80000</v>
      </c>
      <c r="J118" s="3">
        <v>14724.24</v>
      </c>
    </row>
    <row r="119" spans="1:10" x14ac:dyDescent="0.25">
      <c r="A119">
        <v>1118</v>
      </c>
      <c r="B119" s="2">
        <v>45676</v>
      </c>
      <c r="C119" t="s">
        <v>55</v>
      </c>
      <c r="D119" t="s">
        <v>56</v>
      </c>
      <c r="E119" t="s">
        <v>12</v>
      </c>
      <c r="F119" t="s">
        <v>19</v>
      </c>
      <c r="G119">
        <v>2</v>
      </c>
      <c r="H119" s="3">
        <v>97782.93</v>
      </c>
      <c r="I119" s="3">
        <v>80000</v>
      </c>
      <c r="J119" s="3">
        <v>17782.93</v>
      </c>
    </row>
    <row r="120" spans="1:10" x14ac:dyDescent="0.25">
      <c r="A120">
        <v>1119</v>
      </c>
      <c r="B120" s="2">
        <v>45669</v>
      </c>
      <c r="C120" t="s">
        <v>77</v>
      </c>
      <c r="D120" t="s">
        <v>21</v>
      </c>
      <c r="E120" t="s">
        <v>16</v>
      </c>
      <c r="F120" t="s">
        <v>17</v>
      </c>
      <c r="G120">
        <v>6</v>
      </c>
      <c r="H120" s="3">
        <v>2567.12</v>
      </c>
      <c r="I120" s="3">
        <v>2100</v>
      </c>
      <c r="J120" s="3">
        <v>467.12</v>
      </c>
    </row>
    <row r="121" spans="1:10" x14ac:dyDescent="0.25">
      <c r="A121">
        <v>1120</v>
      </c>
      <c r="B121" s="2">
        <v>45737</v>
      </c>
      <c r="C121" t="s">
        <v>86</v>
      </c>
      <c r="D121" t="s">
        <v>24</v>
      </c>
      <c r="E121" t="s">
        <v>25</v>
      </c>
      <c r="F121" t="s">
        <v>13</v>
      </c>
      <c r="G121">
        <v>1</v>
      </c>
      <c r="H121" s="3">
        <v>3376.07</v>
      </c>
      <c r="I121" s="3">
        <v>3000</v>
      </c>
      <c r="J121" s="3">
        <v>376.07</v>
      </c>
    </row>
    <row r="122" spans="1:10" x14ac:dyDescent="0.25">
      <c r="A122">
        <v>1121</v>
      </c>
      <c r="B122" s="2">
        <v>45716</v>
      </c>
      <c r="C122" t="s">
        <v>74</v>
      </c>
      <c r="D122" t="s">
        <v>39</v>
      </c>
      <c r="E122" t="s">
        <v>30</v>
      </c>
      <c r="F122" t="s">
        <v>19</v>
      </c>
      <c r="G122">
        <v>6</v>
      </c>
      <c r="H122" s="3">
        <v>5352.85</v>
      </c>
      <c r="I122" s="3">
        <v>4200</v>
      </c>
      <c r="J122" s="3">
        <v>1152.8499999999999</v>
      </c>
    </row>
    <row r="123" spans="1:10" x14ac:dyDescent="0.25">
      <c r="A123">
        <v>1122</v>
      </c>
      <c r="B123" s="2">
        <v>45837</v>
      </c>
      <c r="C123" t="s">
        <v>83</v>
      </c>
      <c r="D123" t="s">
        <v>44</v>
      </c>
      <c r="E123" t="s">
        <v>25</v>
      </c>
      <c r="F123" t="s">
        <v>19</v>
      </c>
      <c r="G123">
        <v>5</v>
      </c>
      <c r="H123" s="3">
        <v>38244.6</v>
      </c>
      <c r="I123" s="3">
        <v>32500</v>
      </c>
      <c r="J123" s="3">
        <v>5744.6</v>
      </c>
    </row>
    <row r="124" spans="1:10" x14ac:dyDescent="0.25">
      <c r="A124">
        <v>1123</v>
      </c>
      <c r="B124" s="2">
        <v>45963</v>
      </c>
      <c r="C124" t="s">
        <v>74</v>
      </c>
      <c r="D124" t="s">
        <v>60</v>
      </c>
      <c r="E124" t="s">
        <v>25</v>
      </c>
      <c r="F124" t="s">
        <v>19</v>
      </c>
      <c r="G124">
        <v>4</v>
      </c>
      <c r="H124" s="3">
        <v>35525.18</v>
      </c>
      <c r="I124" s="3">
        <v>32000</v>
      </c>
      <c r="J124" s="3">
        <v>3525.18</v>
      </c>
    </row>
    <row r="125" spans="1:10" x14ac:dyDescent="0.25">
      <c r="A125">
        <v>1124</v>
      </c>
      <c r="B125" s="2">
        <v>45906</v>
      </c>
      <c r="C125" t="s">
        <v>14</v>
      </c>
      <c r="D125" t="s">
        <v>21</v>
      </c>
      <c r="E125" t="s">
        <v>16</v>
      </c>
      <c r="F125" t="s">
        <v>13</v>
      </c>
      <c r="G125">
        <v>4</v>
      </c>
      <c r="H125" s="3">
        <v>1629.98</v>
      </c>
      <c r="I125" s="3">
        <v>1400</v>
      </c>
      <c r="J125" s="3">
        <v>229.98</v>
      </c>
    </row>
    <row r="126" spans="1:10" x14ac:dyDescent="0.25">
      <c r="A126">
        <v>1125</v>
      </c>
      <c r="B126" s="2">
        <v>45939</v>
      </c>
      <c r="C126" t="s">
        <v>62</v>
      </c>
      <c r="D126" t="s">
        <v>44</v>
      </c>
      <c r="E126" t="s">
        <v>25</v>
      </c>
      <c r="F126" t="s">
        <v>22</v>
      </c>
      <c r="G126">
        <v>3</v>
      </c>
      <c r="H126" s="3">
        <v>22148.85</v>
      </c>
      <c r="I126" s="3">
        <v>19500</v>
      </c>
      <c r="J126" s="3">
        <v>2648.85</v>
      </c>
    </row>
    <row r="127" spans="1:10" x14ac:dyDescent="0.25">
      <c r="A127">
        <v>1126</v>
      </c>
      <c r="B127" s="2">
        <v>45679</v>
      </c>
      <c r="C127" t="s">
        <v>54</v>
      </c>
      <c r="D127" t="s">
        <v>41</v>
      </c>
      <c r="E127" t="s">
        <v>42</v>
      </c>
      <c r="F127" t="s">
        <v>22</v>
      </c>
      <c r="G127">
        <v>2</v>
      </c>
      <c r="H127" s="3">
        <v>3232.84</v>
      </c>
      <c r="I127" s="3">
        <v>2600</v>
      </c>
      <c r="J127" s="3">
        <v>632.84</v>
      </c>
    </row>
    <row r="128" spans="1:10" x14ac:dyDescent="0.25">
      <c r="A128">
        <v>1127</v>
      </c>
      <c r="B128" s="2">
        <v>45719</v>
      </c>
      <c r="C128" t="s">
        <v>28</v>
      </c>
      <c r="D128" t="s">
        <v>73</v>
      </c>
      <c r="E128" t="s">
        <v>16</v>
      </c>
      <c r="F128" t="s">
        <v>17</v>
      </c>
      <c r="G128">
        <v>2</v>
      </c>
      <c r="H128" s="3">
        <v>1739.26</v>
      </c>
      <c r="I128" s="3">
        <v>1400</v>
      </c>
      <c r="J128" s="3">
        <v>339.26</v>
      </c>
    </row>
    <row r="129" spans="1:10" x14ac:dyDescent="0.25">
      <c r="A129">
        <v>1128</v>
      </c>
      <c r="B129" s="2">
        <v>45909</v>
      </c>
      <c r="C129" t="s">
        <v>77</v>
      </c>
      <c r="D129" t="s">
        <v>11</v>
      </c>
      <c r="E129" t="s">
        <v>12</v>
      </c>
      <c r="F129" t="s">
        <v>22</v>
      </c>
      <c r="G129">
        <v>5</v>
      </c>
      <c r="H129" s="3">
        <v>137601.54</v>
      </c>
      <c r="I129" s="3">
        <v>110000</v>
      </c>
      <c r="J129" s="3">
        <v>27601.54</v>
      </c>
    </row>
    <row r="130" spans="1:10" x14ac:dyDescent="0.25">
      <c r="A130">
        <v>1129</v>
      </c>
      <c r="B130" s="2">
        <v>45700</v>
      </c>
      <c r="C130" t="s">
        <v>87</v>
      </c>
      <c r="D130" t="s">
        <v>64</v>
      </c>
      <c r="E130" t="s">
        <v>30</v>
      </c>
      <c r="F130" t="s">
        <v>13</v>
      </c>
      <c r="G130">
        <v>6</v>
      </c>
      <c r="H130" s="3">
        <v>1338.65</v>
      </c>
      <c r="I130" s="3">
        <v>1200</v>
      </c>
      <c r="J130" s="3">
        <v>138.65</v>
      </c>
    </row>
    <row r="131" spans="1:10" x14ac:dyDescent="0.25">
      <c r="A131">
        <v>1130</v>
      </c>
      <c r="B131" s="2">
        <v>45744</v>
      </c>
      <c r="C131" t="s">
        <v>31</v>
      </c>
      <c r="D131" t="s">
        <v>27</v>
      </c>
      <c r="E131" t="s">
        <v>16</v>
      </c>
      <c r="F131" t="s">
        <v>13</v>
      </c>
      <c r="G131">
        <v>4</v>
      </c>
      <c r="H131" s="3">
        <v>4539.24</v>
      </c>
      <c r="I131" s="3">
        <v>3600</v>
      </c>
      <c r="J131" s="3">
        <v>939.24</v>
      </c>
    </row>
    <row r="132" spans="1:10" x14ac:dyDescent="0.25">
      <c r="A132">
        <v>1131</v>
      </c>
      <c r="B132" s="2">
        <v>46009</v>
      </c>
      <c r="C132" t="s">
        <v>47</v>
      </c>
      <c r="D132" t="s">
        <v>21</v>
      </c>
      <c r="E132" t="s">
        <v>16</v>
      </c>
      <c r="F132" t="s">
        <v>13</v>
      </c>
      <c r="G132">
        <v>6</v>
      </c>
      <c r="H132" s="3">
        <v>2396.6999999999998</v>
      </c>
      <c r="I132" s="3">
        <v>2100</v>
      </c>
      <c r="J132" s="3">
        <v>296.7</v>
      </c>
    </row>
    <row r="133" spans="1:10" x14ac:dyDescent="0.25">
      <c r="A133">
        <v>1132</v>
      </c>
      <c r="B133" s="2">
        <v>45776</v>
      </c>
      <c r="C133" t="s">
        <v>82</v>
      </c>
      <c r="D133" t="s">
        <v>32</v>
      </c>
      <c r="E133" t="s">
        <v>25</v>
      </c>
      <c r="F133" t="s">
        <v>13</v>
      </c>
      <c r="G133">
        <v>4</v>
      </c>
      <c r="H133" s="3">
        <v>27514.71</v>
      </c>
      <c r="I133" s="3">
        <v>22000</v>
      </c>
      <c r="J133" s="3">
        <v>5514.71</v>
      </c>
    </row>
    <row r="134" spans="1:10" x14ac:dyDescent="0.25">
      <c r="A134">
        <v>1133</v>
      </c>
      <c r="B134" s="2">
        <v>45950</v>
      </c>
      <c r="C134" t="s">
        <v>83</v>
      </c>
      <c r="D134" t="s">
        <v>11</v>
      </c>
      <c r="E134" t="s">
        <v>12</v>
      </c>
      <c r="F134" t="s">
        <v>13</v>
      </c>
      <c r="G134">
        <v>6</v>
      </c>
      <c r="H134" s="3">
        <v>161464.17000000001</v>
      </c>
      <c r="I134" s="3">
        <v>132000</v>
      </c>
      <c r="J134" s="3">
        <v>29464.17</v>
      </c>
    </row>
    <row r="135" spans="1:10" x14ac:dyDescent="0.25">
      <c r="A135">
        <v>1134</v>
      </c>
      <c r="B135" s="2">
        <v>45754</v>
      </c>
      <c r="C135" t="s">
        <v>86</v>
      </c>
      <c r="D135" t="s">
        <v>36</v>
      </c>
      <c r="E135" t="s">
        <v>12</v>
      </c>
      <c r="F135" t="s">
        <v>17</v>
      </c>
      <c r="G135">
        <v>6</v>
      </c>
      <c r="H135" s="3">
        <v>17562.57</v>
      </c>
      <c r="I135" s="3">
        <v>15000</v>
      </c>
      <c r="J135" s="3">
        <v>2562.5700000000002</v>
      </c>
    </row>
    <row r="136" spans="1:10" x14ac:dyDescent="0.25">
      <c r="A136">
        <v>1135</v>
      </c>
      <c r="B136" s="2">
        <v>45967</v>
      </c>
      <c r="C136" t="s">
        <v>83</v>
      </c>
      <c r="D136" t="s">
        <v>39</v>
      </c>
      <c r="E136" t="s">
        <v>30</v>
      </c>
      <c r="F136" t="s">
        <v>19</v>
      </c>
      <c r="G136">
        <v>2</v>
      </c>
      <c r="H136" s="3">
        <v>1738.95</v>
      </c>
      <c r="I136" s="3">
        <v>1400</v>
      </c>
      <c r="J136" s="3">
        <v>338.95</v>
      </c>
    </row>
    <row r="137" spans="1:10" x14ac:dyDescent="0.25">
      <c r="A137">
        <v>1136</v>
      </c>
      <c r="B137" s="2">
        <v>45819</v>
      </c>
      <c r="C137" t="s">
        <v>76</v>
      </c>
      <c r="D137" t="s">
        <v>15</v>
      </c>
      <c r="E137" t="s">
        <v>16</v>
      </c>
      <c r="F137" t="s">
        <v>13</v>
      </c>
      <c r="G137">
        <v>5</v>
      </c>
      <c r="H137" s="3">
        <v>3807.88</v>
      </c>
      <c r="I137" s="3">
        <v>3000</v>
      </c>
      <c r="J137" s="3">
        <v>807.88</v>
      </c>
    </row>
    <row r="138" spans="1:10" x14ac:dyDescent="0.25">
      <c r="A138">
        <v>1137</v>
      </c>
      <c r="B138" s="2">
        <v>45898</v>
      </c>
      <c r="C138" t="s">
        <v>59</v>
      </c>
      <c r="D138" t="s">
        <v>84</v>
      </c>
      <c r="E138" t="s">
        <v>42</v>
      </c>
      <c r="F138" t="s">
        <v>17</v>
      </c>
      <c r="G138">
        <v>4</v>
      </c>
      <c r="H138" s="3">
        <v>11719.42</v>
      </c>
      <c r="I138" s="3">
        <v>10000</v>
      </c>
      <c r="J138" s="3">
        <v>1719.42</v>
      </c>
    </row>
    <row r="139" spans="1:10" x14ac:dyDescent="0.25">
      <c r="A139">
        <v>1138</v>
      </c>
      <c r="B139" s="2">
        <v>45873</v>
      </c>
      <c r="C139" t="s">
        <v>52</v>
      </c>
      <c r="D139" t="s">
        <v>64</v>
      </c>
      <c r="E139" t="s">
        <v>30</v>
      </c>
      <c r="F139" t="s">
        <v>17</v>
      </c>
      <c r="G139">
        <v>5</v>
      </c>
      <c r="H139" s="3">
        <v>1230.9100000000001</v>
      </c>
      <c r="I139" s="3">
        <v>1000</v>
      </c>
      <c r="J139" s="3">
        <v>230.91</v>
      </c>
    </row>
    <row r="140" spans="1:10" x14ac:dyDescent="0.25">
      <c r="A140">
        <v>1139</v>
      </c>
      <c r="B140" s="2">
        <v>45713</v>
      </c>
      <c r="C140" t="s">
        <v>62</v>
      </c>
      <c r="D140" t="s">
        <v>36</v>
      </c>
      <c r="E140" t="s">
        <v>12</v>
      </c>
      <c r="F140" t="s">
        <v>19</v>
      </c>
      <c r="G140">
        <v>3</v>
      </c>
      <c r="H140" s="3">
        <v>8584.57</v>
      </c>
      <c r="I140" s="3">
        <v>7500</v>
      </c>
      <c r="J140" s="3">
        <v>1084.57</v>
      </c>
    </row>
    <row r="141" spans="1:10" x14ac:dyDescent="0.25">
      <c r="A141">
        <v>1140</v>
      </c>
      <c r="B141" s="2">
        <v>45804</v>
      </c>
      <c r="C141" t="s">
        <v>48</v>
      </c>
      <c r="D141" t="s">
        <v>46</v>
      </c>
      <c r="E141" t="s">
        <v>30</v>
      </c>
      <c r="F141" t="s">
        <v>13</v>
      </c>
      <c r="G141">
        <v>3</v>
      </c>
      <c r="H141" s="3">
        <v>2432.0300000000002</v>
      </c>
      <c r="I141" s="3">
        <v>1950</v>
      </c>
      <c r="J141" s="3">
        <v>482.03</v>
      </c>
    </row>
    <row r="142" spans="1:10" x14ac:dyDescent="0.25">
      <c r="A142">
        <v>1141</v>
      </c>
      <c r="B142" s="2">
        <v>46016</v>
      </c>
      <c r="C142" t="s">
        <v>43</v>
      </c>
      <c r="D142" t="s">
        <v>36</v>
      </c>
      <c r="E142" t="s">
        <v>12</v>
      </c>
      <c r="F142" t="s">
        <v>17</v>
      </c>
      <c r="G142">
        <v>1</v>
      </c>
      <c r="H142" s="3">
        <v>3089.4</v>
      </c>
      <c r="I142" s="3">
        <v>2500</v>
      </c>
      <c r="J142" s="3">
        <v>589.4</v>
      </c>
    </row>
    <row r="143" spans="1:10" x14ac:dyDescent="0.25">
      <c r="A143">
        <v>1142</v>
      </c>
      <c r="B143" s="2">
        <v>45864</v>
      </c>
      <c r="C143" t="s">
        <v>68</v>
      </c>
      <c r="D143" t="s">
        <v>64</v>
      </c>
      <c r="E143" t="s">
        <v>30</v>
      </c>
      <c r="F143" t="s">
        <v>13</v>
      </c>
      <c r="G143">
        <v>5</v>
      </c>
      <c r="H143" s="3">
        <v>1104.1300000000001</v>
      </c>
      <c r="I143" s="3">
        <v>1000</v>
      </c>
      <c r="J143" s="3">
        <v>104.13</v>
      </c>
    </row>
    <row r="144" spans="1:10" x14ac:dyDescent="0.25">
      <c r="A144">
        <v>1143</v>
      </c>
      <c r="B144" s="2">
        <v>45866</v>
      </c>
      <c r="C144" t="s">
        <v>14</v>
      </c>
      <c r="D144" t="s">
        <v>84</v>
      </c>
      <c r="E144" t="s">
        <v>42</v>
      </c>
      <c r="F144" t="s">
        <v>17</v>
      </c>
      <c r="G144">
        <v>4</v>
      </c>
      <c r="H144" s="3">
        <v>11830.57</v>
      </c>
      <c r="I144" s="3">
        <v>10000</v>
      </c>
      <c r="J144" s="3">
        <v>1830.57</v>
      </c>
    </row>
    <row r="145" spans="1:10" x14ac:dyDescent="0.25">
      <c r="A145">
        <v>1144</v>
      </c>
      <c r="B145" s="2">
        <v>45833</v>
      </c>
      <c r="C145" t="s">
        <v>65</v>
      </c>
      <c r="D145" t="s">
        <v>24</v>
      </c>
      <c r="E145" t="s">
        <v>25</v>
      </c>
      <c r="F145" t="s">
        <v>22</v>
      </c>
      <c r="G145">
        <v>2</v>
      </c>
      <c r="H145" s="3">
        <v>7289.76</v>
      </c>
      <c r="I145" s="3">
        <v>6000</v>
      </c>
      <c r="J145" s="3">
        <v>1289.76</v>
      </c>
    </row>
    <row r="146" spans="1:10" x14ac:dyDescent="0.25">
      <c r="A146">
        <v>1145</v>
      </c>
      <c r="B146" s="2">
        <v>46017</v>
      </c>
      <c r="C146" t="s">
        <v>65</v>
      </c>
      <c r="D146" t="s">
        <v>39</v>
      </c>
      <c r="E146" t="s">
        <v>30</v>
      </c>
      <c r="F146" t="s">
        <v>17</v>
      </c>
      <c r="G146">
        <v>1</v>
      </c>
      <c r="H146" s="3">
        <v>853.07</v>
      </c>
      <c r="I146" s="3">
        <v>700</v>
      </c>
      <c r="J146" s="3">
        <v>153.07</v>
      </c>
    </row>
    <row r="147" spans="1:10" x14ac:dyDescent="0.25">
      <c r="A147">
        <v>1146</v>
      </c>
      <c r="B147" s="2">
        <v>45882</v>
      </c>
      <c r="C147" t="s">
        <v>23</v>
      </c>
      <c r="D147" t="s">
        <v>39</v>
      </c>
      <c r="E147" t="s">
        <v>30</v>
      </c>
      <c r="F147" t="s">
        <v>19</v>
      </c>
      <c r="G147">
        <v>4</v>
      </c>
      <c r="H147" s="3">
        <v>3357.09</v>
      </c>
      <c r="I147" s="3">
        <v>2800</v>
      </c>
      <c r="J147" s="3">
        <v>557.09</v>
      </c>
    </row>
    <row r="148" spans="1:10" x14ac:dyDescent="0.25">
      <c r="A148">
        <v>1147</v>
      </c>
      <c r="B148" s="2">
        <v>45807</v>
      </c>
      <c r="C148" t="s">
        <v>50</v>
      </c>
      <c r="D148" t="s">
        <v>29</v>
      </c>
      <c r="E148" t="s">
        <v>30</v>
      </c>
      <c r="F148" t="s">
        <v>19</v>
      </c>
      <c r="G148">
        <v>2</v>
      </c>
      <c r="H148" s="3">
        <v>710.16</v>
      </c>
      <c r="I148" s="3">
        <v>600</v>
      </c>
      <c r="J148" s="3">
        <v>110.16</v>
      </c>
    </row>
    <row r="149" spans="1:10" x14ac:dyDescent="0.25">
      <c r="A149">
        <v>1148</v>
      </c>
      <c r="B149" s="2">
        <v>45693</v>
      </c>
      <c r="C149" t="s">
        <v>85</v>
      </c>
      <c r="D149" t="s">
        <v>24</v>
      </c>
      <c r="E149" t="s">
        <v>25</v>
      </c>
      <c r="F149" t="s">
        <v>19</v>
      </c>
      <c r="G149">
        <v>6</v>
      </c>
      <c r="H149" s="3">
        <v>23024.1</v>
      </c>
      <c r="I149" s="3">
        <v>18000</v>
      </c>
      <c r="J149" s="3">
        <v>5024.1000000000004</v>
      </c>
    </row>
    <row r="150" spans="1:10" x14ac:dyDescent="0.25">
      <c r="A150">
        <v>1149</v>
      </c>
      <c r="B150" s="2">
        <v>46017</v>
      </c>
      <c r="C150" t="s">
        <v>76</v>
      </c>
      <c r="D150" t="s">
        <v>46</v>
      </c>
      <c r="E150" t="s">
        <v>30</v>
      </c>
      <c r="F150" t="s">
        <v>22</v>
      </c>
      <c r="G150">
        <v>1</v>
      </c>
      <c r="H150" s="3">
        <v>825.23</v>
      </c>
      <c r="I150" s="3">
        <v>650</v>
      </c>
      <c r="J150" s="3">
        <v>175.23</v>
      </c>
    </row>
    <row r="151" spans="1:10" x14ac:dyDescent="0.25">
      <c r="A151">
        <v>1150</v>
      </c>
      <c r="B151" s="2">
        <v>45818</v>
      </c>
      <c r="C151" t="s">
        <v>38</v>
      </c>
      <c r="D151" t="s">
        <v>27</v>
      </c>
      <c r="E151" t="s">
        <v>16</v>
      </c>
      <c r="F151" t="s">
        <v>17</v>
      </c>
      <c r="G151">
        <v>4</v>
      </c>
      <c r="H151" s="3">
        <v>4222.41</v>
      </c>
      <c r="I151" s="3">
        <v>3600</v>
      </c>
      <c r="J151" s="3">
        <v>622.41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cols>
    <col min="1" max="1" width="24" customWidth="1"/>
    <col min="2" max="2" width="20" customWidth="1"/>
  </cols>
  <sheetData>
    <row r="1" spans="1:5" ht="23.25" x14ac:dyDescent="0.35">
      <c r="A1" s="4" t="s">
        <v>88</v>
      </c>
    </row>
    <row r="3" spans="1:5" x14ac:dyDescent="0.25">
      <c r="A3" s="5" t="s">
        <v>89</v>
      </c>
      <c r="B3" s="5" t="s">
        <v>90</v>
      </c>
      <c r="D3" s="5" t="s">
        <v>4</v>
      </c>
      <c r="E3" s="5" t="s">
        <v>7</v>
      </c>
    </row>
    <row r="4" spans="1:5" x14ac:dyDescent="0.25">
      <c r="A4" t="s">
        <v>91</v>
      </c>
      <c r="B4" s="3">
        <f>SUM('Sales Data'!H2:H151)</f>
        <v>3182434.3900000011</v>
      </c>
      <c r="D4" t="s">
        <v>16</v>
      </c>
      <c r="E4" s="3">
        <f>SUMIF('Sales Data'!E:E,D4,'Sales Data'!H:H)</f>
        <v>90827.49</v>
      </c>
    </row>
    <row r="5" spans="1:5" x14ac:dyDescent="0.25">
      <c r="A5" t="s">
        <v>92</v>
      </c>
      <c r="B5" s="3">
        <f>SUM('Sales Data'!J2:J151)</f>
        <v>518684.3899999999</v>
      </c>
      <c r="D5" t="s">
        <v>42</v>
      </c>
      <c r="E5" s="3">
        <f>SUMIF('Sales Data'!E:E,D5,'Sales Data'!H:H)</f>
        <v>163734.22999999998</v>
      </c>
    </row>
    <row r="6" spans="1:5" x14ac:dyDescent="0.25">
      <c r="A6" t="s">
        <v>93</v>
      </c>
      <c r="B6" s="6">
        <f>COUNTA('Sales Data'!A2:A151)</f>
        <v>150</v>
      </c>
      <c r="D6" t="s">
        <v>12</v>
      </c>
      <c r="E6" s="3">
        <f>SUMIF('Sales Data'!E:E,D6,'Sales Data'!H:H)</f>
        <v>2300322.5999999992</v>
      </c>
    </row>
    <row r="7" spans="1:5" x14ac:dyDescent="0.25">
      <c r="A7" t="s">
        <v>94</v>
      </c>
      <c r="B7" s="6">
        <f>SUM('Sales Data'!G2:G151)</f>
        <v>541</v>
      </c>
      <c r="D7" t="s">
        <v>30</v>
      </c>
      <c r="E7" s="3">
        <f>SUMIF('Sales Data'!E:E,D7,'Sales Data'!H:H)</f>
        <v>75761.679999999993</v>
      </c>
    </row>
    <row r="8" spans="1:5" x14ac:dyDescent="0.25">
      <c r="D8" t="s">
        <v>25</v>
      </c>
      <c r="E8" s="3">
        <f>SUMIF('Sales Data'!E:E,D8,'Sales Data'!H:H)</f>
        <v>551788.3899999999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2026-09-27T04:57:45Z</dcterms:created>
  <dcterms:modified xsi:type="dcterms:W3CDTF">2026-09-27T06:50:20Z</dcterms:modified>
</cp:coreProperties>
</file>